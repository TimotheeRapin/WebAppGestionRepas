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4499529B-F62F-4CAE-A7EE-0071C9DF969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E3" i="4"/>
  <c r="D3" i="4"/>
  <c r="C3" i="4"/>
  <c r="B3" i="4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F3" i="4" l="1"/>
</calcChain>
</file>

<file path=xl/sharedStrings.xml><?xml version="1.0" encoding="utf-8"?>
<sst xmlns="http://schemas.openxmlformats.org/spreadsheetml/2006/main" count="187" uniqueCount="109">
  <si>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</si>
  <si>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</si>
  <si>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</si>
  <si>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</si>
  <si>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</si>
  <si>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</si>
  <si>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</si>
  <si>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</si>
  <si>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</si>
  <si>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</si>
  <si>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</si>
  <si>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</si>
  <si>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</si>
  <si>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</si>
  <si>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</si>
  <si>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</si>
  <si>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</si>
  <si>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</si>
  <si>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</si>
  <si>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</si>
  <si>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</si>
  <si>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</si>
  <si>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</si>
  <si>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</si>
  <si>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</si>
  <si>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</si>
  <si>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</si>
  <si>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</si>
  <si>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</si>
  <si>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</si>
  <si>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</si>
  <si>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</si>
  <si>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</si>
  <si>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</si>
  <si>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</si>
  <si>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</si>
  <si>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</si>
  <si>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</si>
  <si>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</si>
  <si>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</si>
  <si>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</si>
  <si>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</si>
  <si>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</si>
  <si>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</si>
  <si>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</si>
  <si>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</si>
  <si>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</si>
  <si>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</si>
  <si>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</si>
  <si>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</si>
  <si>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</si>
  <si>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</si>
  <si>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</si>
  <si>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</si>
  <si>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</si>
  <si>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</si>
  <si>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</si>
  <si>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</si>
  <si>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</si>
  <si>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</si>
  <si>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</si>
  <si>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</si>
  <si>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</si>
  <si>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</si>
  <si>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</si>
  <si>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</si>
  <si>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</si>
  <si>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</si>
  <si>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</si>
  <si>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</si>
  <si>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</si>
  <si>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</si>
  <si>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</si>
  <si>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</si>
  <si>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</si>
  <si>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</si>
  <si>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</si>
  <si>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</si>
  <si>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</si>
  <si>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</si>
  <si>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</si>
  <si>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</si>
  <si>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</si>
  <si>
    <t>Création des articles (Ajout des prix par enseignes)</t>
  </si>
  <si>
    <t>J'ai de la peine a faire passer l'id de l'enseigne jusqu'à la création de l'article</t>
  </si>
  <si>
    <t>MLD, changement du type pour le prix (int --&gt; decimal)</t>
  </si>
  <si>
    <t>Completion de la doc principalement l'arborescence</t>
  </si>
  <si>
    <t>Visite de l'expert 2</t>
  </si>
  <si>
    <t>Discution du déroulement de la présentation, la gestion des tests, le suivi du planning et le rendu</t>
  </si>
  <si>
    <t>Création de la stratégie de test</t>
  </si>
  <si>
    <t>J'ai créé la stratégie de test en fonction des retour de M.Mveng</t>
  </si>
  <si>
    <t>Correction du type de prix (int --&gt; decimal)</t>
  </si>
  <si>
    <t>Correction de l'affichage de la liste des article pour les trier par nom d'article puis par nom d'enseigne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</si>
  <si>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</si>
  <si>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</si>
  <si>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</si>
  <si>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</si>
  <si>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j'ai vérifier les test de création d'un plat</t>
  </si>
  <si>
    <t>J'ai eu de la peine à comprendre pourquoi des fois ça ne fonctionne pas (le problème est quand le texte entré contient un chacactère tel que : ') meintenant, il affiche dans le message d'erreur que ça peut venir d'un charactère spécial.</t>
  </si>
  <si>
    <t>Affichage des menus</t>
  </si>
  <si>
    <t>J'ai eu de la peine a afficher les menus, même s'ils ne contiennent pas de recettes</t>
  </si>
  <si>
    <t>Création d'un menu</t>
  </si>
  <si>
    <t>J'ai eu de la peine à veriffier en affichant les plats dans chaques menus</t>
  </si>
  <si>
    <t>Configuration et ajout du site sur swisscenter</t>
  </si>
  <si>
    <t>J'ai eu de la peine à ajouter le scripte de création des tables. Après disscution avec M.Favre je me suis connecté à distance depuis le client MySQL</t>
  </si>
  <si>
    <t>Discussion avec M.Favre sur comment gêrer le nombre de personne pour un plat. Car le problème est que si on le modifie, ça modifie le plat de référence.</t>
  </si>
  <si>
    <t>Modification de la base de donnée pour ajouter le nombre de personnes dans la table "menus_has_foods"</t>
  </si>
  <si>
    <t>Modification du MCD, du MLD, du script et des bases de données (local et swisscenter)</t>
  </si>
  <si>
    <t>Modification de la base de donnée pour supprimer les ingrédiants et lier directement les plats aux articles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</si>
</sst>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67"/>
  <sheetViews>
    <sheetView showGridLines="0" tabSelected="1" zoomScaleNormal="100" zoomScaleSheetLayoutView="130" zoomScalePageLayoutView="40" workbookViewId="0">
      <selection activeCell="I2" sqref="I2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ht="30" x14ac:dyDescent="0.25">
      <c r="A2" s="14">
        <v>45068</v>
      </c>
      <c r="B2" s="15">
        <f t="shared" ref="B2" si="0">WEEKNUM(A2)</f>
        <v>21</v>
      </c>
      <c r="C2" s="16">
        <v>1</v>
      </c>
      <c r="D2" s="17" t="s">
        <v>6</v>
      </c>
      <c r="E2" s="18" t="s">
        <v>108</v>
      </c>
      <c r="F2" s="18" t="s">
        <v>107</v>
      </c>
      <c r="H2" s="19"/>
      <c r="I2" s="19"/>
    </row>
    <row r="3" spans="1:9" ht="30" x14ac:dyDescent="0.25">
      <c r="A3" s="14">
        <v>45068</v>
      </c>
      <c r="B3" s="15">
        <f t="shared" ref="B3" si="1">WEEKNUM(A3)</f>
        <v>21</v>
      </c>
      <c r="C3" s="16">
        <v>0.75</v>
      </c>
      <c r="D3" s="17" t="s">
        <v>6</v>
      </c>
      <c r="E3" s="18" t="s">
        <v>106</v>
      </c>
      <c r="F3" s="18"/>
      <c r="H3" s="19"/>
      <c r="I3" s="19"/>
    </row>
    <row r="4" spans="1:9" ht="45" x14ac:dyDescent="0.25">
      <c r="A4" s="14">
        <v>45068</v>
      </c>
      <c r="B4" s="15">
        <f t="shared" ref="B4" si="2">WEEKNUM(A4)</f>
        <v>21</v>
      </c>
      <c r="C4" s="16">
        <v>0.25</v>
      </c>
      <c r="D4" s="17" t="s">
        <v>6</v>
      </c>
      <c r="E4" s="18" t="s">
        <v>101</v>
      </c>
      <c r="F4" s="18" t="s">
        <v>105</v>
      </c>
      <c r="I4" s="5"/>
    </row>
    <row r="5" spans="1:9" ht="45" x14ac:dyDescent="0.25">
      <c r="A5" s="14">
        <v>45068</v>
      </c>
      <c r="B5" s="15">
        <f t="shared" ref="B5" si="3">WEEKNUM(A5)</f>
        <v>21</v>
      </c>
      <c r="C5" s="16">
        <v>1</v>
      </c>
      <c r="D5" s="17" t="s">
        <v>8</v>
      </c>
      <c r="E5" s="18" t="s">
        <v>103</v>
      </c>
      <c r="F5" s="18" t="s">
        <v>104</v>
      </c>
      <c r="I5" s="5"/>
    </row>
    <row r="6" spans="1:9" ht="30" x14ac:dyDescent="0.25">
      <c r="A6" s="14">
        <v>45068</v>
      </c>
      <c r="B6" s="15">
        <f t="shared" ref="B6" si="4">WEEKNUM(A6)</f>
        <v>21</v>
      </c>
      <c r="C6" s="16">
        <v>1</v>
      </c>
      <c r="D6" s="17" t="s">
        <v>8</v>
      </c>
      <c r="E6" s="18" t="s">
        <v>101</v>
      </c>
      <c r="F6" s="18" t="s">
        <v>102</v>
      </c>
      <c r="I6" s="5"/>
    </row>
    <row r="7" spans="1:9" x14ac:dyDescent="0.25">
      <c r="A7" s="14">
        <v>45062</v>
      </c>
      <c r="B7" s="15">
        <f t="shared" ref="B7" si="5">WEEKNUM(A7)</f>
        <v>20</v>
      </c>
      <c r="C7" s="16">
        <v>1.25</v>
      </c>
      <c r="D7" s="17" t="s">
        <v>8</v>
      </c>
      <c r="E7" s="18" t="s">
        <v>101</v>
      </c>
      <c r="F7" s="18"/>
      <c r="I7" s="5"/>
    </row>
    <row r="8" spans="1:9" x14ac:dyDescent="0.25">
      <c r="A8" s="14">
        <v>45062</v>
      </c>
      <c r="B8" s="15">
        <f t="shared" ref="B8" si="6">WEEKNUM(A8)</f>
        <v>20</v>
      </c>
      <c r="C8" s="16">
        <v>0.5</v>
      </c>
      <c r="D8" s="17" t="s">
        <v>6</v>
      </c>
      <c r="E8" s="18" t="s">
        <v>49</v>
      </c>
      <c r="F8" s="18"/>
      <c r="I8" s="5"/>
    </row>
    <row r="9" spans="1:9" x14ac:dyDescent="0.25">
      <c r="A9" s="14">
        <v>45062</v>
      </c>
      <c r="B9" s="15">
        <f t="shared" ref="B9" si="7">WEEKNUM(A9)</f>
        <v>20</v>
      </c>
      <c r="C9" s="16">
        <v>0.5</v>
      </c>
      <c r="D9" s="17" t="s">
        <v>8</v>
      </c>
      <c r="E9" s="18" t="s">
        <v>101</v>
      </c>
      <c r="F9" s="18"/>
      <c r="I9" s="5"/>
    </row>
    <row r="10" spans="1:9" ht="30" x14ac:dyDescent="0.25">
      <c r="A10" s="14">
        <v>45062</v>
      </c>
      <c r="B10" s="15">
        <f t="shared" ref="B10" si="8">WEEKNUM(A10)</f>
        <v>20</v>
      </c>
      <c r="C10" s="16">
        <v>1.25</v>
      </c>
      <c r="D10" s="17" t="s">
        <v>8</v>
      </c>
      <c r="E10" s="18" t="s">
        <v>99</v>
      </c>
      <c r="F10" s="18" t="s">
        <v>100</v>
      </c>
      <c r="H10" s="19"/>
      <c r="I10" s="5"/>
    </row>
    <row r="11" spans="1:9" x14ac:dyDescent="0.25">
      <c r="A11" s="14">
        <v>45062</v>
      </c>
      <c r="B11" s="15">
        <f t="shared" ref="B11" si="9">WEEKNUM(A11)</f>
        <v>20</v>
      </c>
      <c r="C11" s="16">
        <v>1</v>
      </c>
      <c r="D11" s="17" t="s">
        <v>8</v>
      </c>
      <c r="E11" s="18" t="s">
        <v>96</v>
      </c>
      <c r="F11" s="18"/>
      <c r="H11" s="19"/>
      <c r="I11" s="5"/>
    </row>
    <row r="12" spans="1:9" ht="60" x14ac:dyDescent="0.25">
      <c r="A12" s="14">
        <v>45062</v>
      </c>
      <c r="B12" s="15">
        <f t="shared" ref="B12" si="10">WEEKNUM(A12)</f>
        <v>20</v>
      </c>
      <c r="C12" s="16">
        <v>0.75</v>
      </c>
      <c r="D12" s="17" t="s">
        <v>9</v>
      </c>
      <c r="E12" s="18" t="s">
        <v>97</v>
      </c>
      <c r="F12" s="18" t="s">
        <v>98</v>
      </c>
      <c r="I12" s="5"/>
    </row>
    <row r="13" spans="1:9" ht="45" x14ac:dyDescent="0.25">
      <c r="A13" s="14">
        <v>45061</v>
      </c>
      <c r="B13" s="15">
        <f t="shared" ref="B13" si="11">WEEKNUM(A13)</f>
        <v>20</v>
      </c>
      <c r="C13" s="16">
        <v>2.25</v>
      </c>
      <c r="D13" s="17" t="s">
        <v>8</v>
      </c>
      <c r="E13" s="18" t="s">
        <v>94</v>
      </c>
      <c r="F13" s="18" t="s">
        <v>95</v>
      </c>
      <c r="H13" s="19"/>
      <c r="I13" s="5"/>
    </row>
    <row r="14" spans="1:9" ht="30" x14ac:dyDescent="0.25">
      <c r="A14" s="14">
        <v>45061</v>
      </c>
      <c r="B14" s="15">
        <f t="shared" ref="B14" si="12">WEEKNUM(A14)</f>
        <v>20</v>
      </c>
      <c r="C14" s="16">
        <v>1</v>
      </c>
      <c r="D14" s="17" t="s">
        <v>8</v>
      </c>
      <c r="E14" s="18" t="s">
        <v>92</v>
      </c>
      <c r="F14" s="18" t="s">
        <v>93</v>
      </c>
      <c r="H14" s="19"/>
      <c r="I14" s="5"/>
    </row>
    <row r="15" spans="1:9" x14ac:dyDescent="0.25">
      <c r="A15" s="14">
        <v>45061</v>
      </c>
      <c r="B15" s="15">
        <f t="shared" ref="B15" si="13">WEEKNUM(A15)</f>
        <v>20</v>
      </c>
      <c r="C15" s="16">
        <v>0.5</v>
      </c>
      <c r="D15" s="17" t="s">
        <v>8</v>
      </c>
      <c r="E15" s="18" t="s">
        <v>91</v>
      </c>
      <c r="F15" s="18"/>
      <c r="H15" s="19"/>
      <c r="I15" s="5"/>
    </row>
    <row r="16" spans="1:9" x14ac:dyDescent="0.25">
      <c r="A16" s="14">
        <v>45061</v>
      </c>
      <c r="B16" s="15">
        <f t="shared" ref="B16" si="14">WEEKNUM(A16)</f>
        <v>20</v>
      </c>
      <c r="C16" s="16">
        <v>0.5</v>
      </c>
      <c r="D16" s="17" t="s">
        <v>8</v>
      </c>
      <c r="E16" s="18" t="s">
        <v>91</v>
      </c>
      <c r="F16" s="18"/>
      <c r="H16" s="19"/>
      <c r="I16" s="5"/>
    </row>
    <row r="17" spans="1:9" x14ac:dyDescent="0.25">
      <c r="A17" s="14">
        <v>45061</v>
      </c>
      <c r="B17" s="15">
        <f t="shared" ref="B17" si="15">WEEKNUM(A17)</f>
        <v>20</v>
      </c>
      <c r="C17" s="16">
        <v>0.5</v>
      </c>
      <c r="D17" s="17" t="s">
        <v>9</v>
      </c>
      <c r="E17" s="18" t="s">
        <v>89</v>
      </c>
      <c r="F17" s="18" t="s">
        <v>90</v>
      </c>
      <c r="H17" s="19"/>
      <c r="I17" s="5"/>
    </row>
    <row r="18" spans="1:9" ht="30" x14ac:dyDescent="0.25">
      <c r="A18" s="14">
        <v>45061</v>
      </c>
      <c r="B18" s="15">
        <f t="shared" ref="B18" si="16">WEEKNUM(A18)</f>
        <v>20</v>
      </c>
      <c r="C18" s="16">
        <v>0.5</v>
      </c>
      <c r="D18" s="17" t="s">
        <v>6</v>
      </c>
      <c r="E18" s="18" t="s">
        <v>87</v>
      </c>
      <c r="F18" s="18" t="s">
        <v>88</v>
      </c>
      <c r="H18" s="19"/>
      <c r="I18" s="5"/>
    </row>
    <row r="19" spans="1:9" x14ac:dyDescent="0.25">
      <c r="A19" s="14">
        <v>45061</v>
      </c>
      <c r="B19" s="15">
        <f t="shared" ref="B19" si="17">WEEKNUM(A19)</f>
        <v>20</v>
      </c>
      <c r="C19" s="16">
        <v>0.5</v>
      </c>
      <c r="D19" s="17" t="s">
        <v>10</v>
      </c>
      <c r="E19" s="18" t="s">
        <v>86</v>
      </c>
      <c r="F19" s="18"/>
      <c r="H19" s="19"/>
      <c r="I19" s="5"/>
    </row>
    <row r="20" spans="1:9" x14ac:dyDescent="0.25">
      <c r="A20" s="14">
        <v>45061</v>
      </c>
      <c r="B20" s="15">
        <f t="shared" ref="B20" si="18">WEEKNUM(A20)</f>
        <v>20</v>
      </c>
      <c r="C20" s="16">
        <v>0.25</v>
      </c>
      <c r="D20" s="17" t="s">
        <v>6</v>
      </c>
      <c r="E20" s="18" t="s">
        <v>85</v>
      </c>
      <c r="F20" s="18"/>
      <c r="I20" s="5"/>
    </row>
    <row r="21" spans="1:9" ht="30" x14ac:dyDescent="0.25">
      <c r="A21" s="14">
        <v>45061</v>
      </c>
      <c r="B21" s="15">
        <f t="shared" ref="B21" si="19">WEEKNUM(A21)</f>
        <v>20</v>
      </c>
      <c r="C21" s="16">
        <v>1</v>
      </c>
      <c r="D21" s="17" t="s">
        <v>8</v>
      </c>
      <c r="E21" s="18" t="s">
        <v>83</v>
      </c>
      <c r="F21" s="18" t="s">
        <v>84</v>
      </c>
      <c r="H21" s="19"/>
      <c r="I21" s="5"/>
    </row>
    <row r="22" spans="1:9" ht="30" x14ac:dyDescent="0.25">
      <c r="A22" s="14">
        <v>45058</v>
      </c>
      <c r="B22" s="15">
        <f t="shared" ref="B22" si="20">WEEKNUM(A22)</f>
        <v>19</v>
      </c>
      <c r="C22" s="16">
        <v>3</v>
      </c>
      <c r="D22" s="17" t="s">
        <v>8</v>
      </c>
      <c r="E22" s="18" t="s">
        <v>80</v>
      </c>
      <c r="F22" s="18" t="s">
        <v>81</v>
      </c>
      <c r="H22" s="19"/>
      <c r="I22" s="5"/>
    </row>
    <row r="23" spans="1:9" ht="105" x14ac:dyDescent="0.25">
      <c r="A23" s="14">
        <v>45058</v>
      </c>
      <c r="B23" s="15">
        <f t="shared" ref="B23" si="21">WEEKNUM(A23)</f>
        <v>19</v>
      </c>
      <c r="C23" s="16">
        <v>2</v>
      </c>
      <c r="D23" s="17" t="s">
        <v>8</v>
      </c>
      <c r="E23" s="18" t="s">
        <v>76</v>
      </c>
      <c r="F23" s="18" t="s">
        <v>79</v>
      </c>
      <c r="H23" s="19"/>
      <c r="I23" s="5"/>
    </row>
    <row r="24" spans="1:9" ht="30" x14ac:dyDescent="0.25">
      <c r="A24" s="14">
        <v>45057</v>
      </c>
      <c r="B24" s="15">
        <f t="shared" ref="B24" si="22">WEEKNUM(A24)</f>
        <v>19</v>
      </c>
      <c r="C24" s="16">
        <v>1.75</v>
      </c>
      <c r="D24" s="17" t="s">
        <v>8</v>
      </c>
      <c r="E24" s="18" t="s">
        <v>76</v>
      </c>
      <c r="F24" s="18" t="s">
        <v>77</v>
      </c>
      <c r="H24" s="19"/>
      <c r="I24" s="5"/>
    </row>
    <row r="25" spans="1:9" ht="30" x14ac:dyDescent="0.25">
      <c r="A25" s="14">
        <v>45057</v>
      </c>
      <c r="B25" s="15">
        <f t="shared" ref="B25" si="23">WEEKNUM(A25)</f>
        <v>19</v>
      </c>
      <c r="C25" s="16">
        <v>0.75</v>
      </c>
      <c r="D25" s="17" t="s">
        <v>8</v>
      </c>
      <c r="E25" s="18" t="s">
        <v>74</v>
      </c>
      <c r="F25" s="18" t="s">
        <v>75</v>
      </c>
      <c r="H25" s="19"/>
      <c r="I25" s="5"/>
    </row>
    <row r="26" spans="1:9" ht="30" x14ac:dyDescent="0.25">
      <c r="A26" s="14">
        <v>45057</v>
      </c>
      <c r="B26" s="15">
        <f t="shared" ref="B26" si="24">WEEKNUM(A26)</f>
        <v>19</v>
      </c>
      <c r="C26" s="16">
        <v>1.25</v>
      </c>
      <c r="D26" s="17" t="s">
        <v>8</v>
      </c>
      <c r="E26" s="18" t="s">
        <v>72</v>
      </c>
      <c r="F26" s="18" t="s">
        <v>73</v>
      </c>
      <c r="H26" s="19"/>
      <c r="I26" s="5"/>
    </row>
    <row r="27" spans="1:9" ht="30" x14ac:dyDescent="0.25">
      <c r="A27" s="14">
        <v>45057</v>
      </c>
      <c r="B27" s="15">
        <f t="shared" ref="B27" si="25">WEEKNUM(A27)</f>
        <v>19</v>
      </c>
      <c r="C27" s="16">
        <v>1</v>
      </c>
      <c r="D27" s="17" t="s">
        <v>8</v>
      </c>
      <c r="E27" s="18" t="s">
        <v>71</v>
      </c>
      <c r="F27" s="18" t="s">
        <v>78</v>
      </c>
      <c r="H27" s="19"/>
      <c r="I27" s="5"/>
    </row>
    <row r="28" spans="1:9" ht="45" x14ac:dyDescent="0.25">
      <c r="A28" s="14">
        <v>45057</v>
      </c>
      <c r="B28" s="15">
        <f t="shared" ref="B28" si="26">WEEKNUM(A28)</f>
        <v>19</v>
      </c>
      <c r="C28" s="16">
        <v>0.5</v>
      </c>
      <c r="D28" s="17" t="s">
        <v>9</v>
      </c>
      <c r="E28" s="18" t="s">
        <v>69</v>
      </c>
      <c r="F28" s="18" t="s">
        <v>70</v>
      </c>
      <c r="H28" s="19"/>
      <c r="I28" s="5"/>
    </row>
    <row r="29" spans="1:9" x14ac:dyDescent="0.25">
      <c r="A29" s="14">
        <v>45055</v>
      </c>
      <c r="B29" s="15">
        <f t="shared" ref="B29" si="27">WEEKNUM(A29)</f>
        <v>19</v>
      </c>
      <c r="C29" s="16">
        <v>0.75</v>
      </c>
      <c r="D29" s="17" t="s">
        <v>8</v>
      </c>
      <c r="E29" s="18" t="s">
        <v>67</v>
      </c>
      <c r="F29" s="18" t="s">
        <v>68</v>
      </c>
      <c r="H29" s="19"/>
      <c r="I29" s="5"/>
    </row>
    <row r="30" spans="1:9" x14ac:dyDescent="0.25">
      <c r="A30" s="14">
        <v>45055</v>
      </c>
      <c r="B30" s="15">
        <f t="shared" ref="B30" si="28">WEEKNUM(A30)</f>
        <v>19</v>
      </c>
      <c r="C30" s="16">
        <v>0.5</v>
      </c>
      <c r="D30" s="17" t="s">
        <v>8</v>
      </c>
      <c r="E30" s="18" t="s">
        <v>66</v>
      </c>
      <c r="F30" s="18"/>
      <c r="H30" s="19"/>
      <c r="I30" s="5"/>
    </row>
    <row r="31" spans="1:9" x14ac:dyDescent="0.25">
      <c r="A31" s="14">
        <v>45055</v>
      </c>
      <c r="B31" s="15">
        <f t="shared" ref="B31" si="29">WEEKNUM(A31)</f>
        <v>19</v>
      </c>
      <c r="C31" s="16">
        <v>1</v>
      </c>
      <c r="D31" s="17" t="s">
        <v>8</v>
      </c>
      <c r="E31" s="18" t="s">
        <v>62</v>
      </c>
      <c r="F31" s="18"/>
      <c r="H31" s="19"/>
      <c r="I31" s="5"/>
    </row>
    <row r="32" spans="1:9" ht="30" x14ac:dyDescent="0.25">
      <c r="A32" s="14">
        <v>45055</v>
      </c>
      <c r="B32" s="15">
        <f t="shared" ref="B32" si="30">WEEKNUM(A32)</f>
        <v>19</v>
      </c>
      <c r="C32" s="16">
        <v>1.75</v>
      </c>
      <c r="D32" s="17" t="s">
        <v>8</v>
      </c>
      <c r="E32" s="18" t="s">
        <v>64</v>
      </c>
      <c r="F32" s="18" t="s">
        <v>65</v>
      </c>
      <c r="I32" s="5"/>
    </row>
    <row r="33" spans="1:9" x14ac:dyDescent="0.25">
      <c r="A33" s="14">
        <v>45055</v>
      </c>
      <c r="B33" s="15">
        <f t="shared" ref="B33" si="31">WEEKNUM(A33)</f>
        <v>19</v>
      </c>
      <c r="C33" s="16">
        <v>0.25</v>
      </c>
      <c r="D33" s="17" t="s">
        <v>8</v>
      </c>
      <c r="E33" s="18" t="s">
        <v>63</v>
      </c>
      <c r="F33" s="18"/>
      <c r="I33" s="5"/>
    </row>
    <row r="34" spans="1:9" ht="30" x14ac:dyDescent="0.25">
      <c r="A34" s="14">
        <v>45055</v>
      </c>
      <c r="B34" s="15">
        <f t="shared" ref="B34" si="32">WEEKNUM(A34)</f>
        <v>19</v>
      </c>
      <c r="C34" s="16">
        <v>0.25</v>
      </c>
      <c r="D34" s="17" t="s">
        <v>8</v>
      </c>
      <c r="E34" s="18" t="s">
        <v>60</v>
      </c>
      <c r="F34" s="18" t="s">
        <v>61</v>
      </c>
      <c r="I34" s="5"/>
    </row>
    <row r="35" spans="1:9" ht="30" x14ac:dyDescent="0.25">
      <c r="A35" s="14">
        <v>45055</v>
      </c>
      <c r="B35" s="15">
        <f t="shared" ref="B35" si="33">WEEKNUM(A35)</f>
        <v>19</v>
      </c>
      <c r="C35" s="16">
        <v>0.5</v>
      </c>
      <c r="D35" s="17" t="s">
        <v>8</v>
      </c>
      <c r="E35" s="18" t="s">
        <v>59</v>
      </c>
      <c r="F35" s="18" t="s">
        <v>58</v>
      </c>
      <c r="I35" s="5"/>
    </row>
    <row r="36" spans="1:9" x14ac:dyDescent="0.25">
      <c r="A36" s="14">
        <v>45055</v>
      </c>
      <c r="B36" s="15">
        <f t="shared" ref="B36" si="34">WEEKNUM(A36)</f>
        <v>19</v>
      </c>
      <c r="C36" s="16">
        <v>0.25</v>
      </c>
      <c r="D36" s="17" t="s">
        <v>8</v>
      </c>
      <c r="E36" s="18" t="s">
        <v>57</v>
      </c>
      <c r="F36" s="18"/>
      <c r="I36" s="5"/>
    </row>
    <row r="37" spans="1:9" x14ac:dyDescent="0.25">
      <c r="A37" s="14">
        <v>45054</v>
      </c>
      <c r="B37" s="15">
        <f t="shared" ref="B37" si="35">WEEKNUM(A37)</f>
        <v>19</v>
      </c>
      <c r="C37" s="16">
        <v>0.75</v>
      </c>
      <c r="D37" s="17" t="s">
        <v>6</v>
      </c>
      <c r="E37" s="18" t="s">
        <v>56</v>
      </c>
      <c r="F37" s="18"/>
      <c r="I37" s="5"/>
    </row>
    <row r="38" spans="1:9" ht="45" x14ac:dyDescent="0.25">
      <c r="A38" s="14">
        <v>45054</v>
      </c>
      <c r="B38" s="15">
        <f t="shared" ref="B38" si="36">WEEKNUM(A38)</f>
        <v>19</v>
      </c>
      <c r="C38" s="16">
        <v>1</v>
      </c>
      <c r="D38" s="17" t="s">
        <v>6</v>
      </c>
      <c r="E38" s="18" t="s">
        <v>54</v>
      </c>
      <c r="F38" s="18" t="s">
        <v>55</v>
      </c>
      <c r="I38" s="5"/>
    </row>
    <row r="39" spans="1:9" x14ac:dyDescent="0.25">
      <c r="A39" s="14">
        <v>45054</v>
      </c>
      <c r="B39" s="15">
        <f t="shared" ref="B39" si="37">WEEKNUM(A39)</f>
        <v>19</v>
      </c>
      <c r="C39" s="16">
        <v>1</v>
      </c>
      <c r="D39" s="17" t="s">
        <v>6</v>
      </c>
      <c r="E39" s="18" t="s">
        <v>52</v>
      </c>
      <c r="F39" s="18" t="s">
        <v>53</v>
      </c>
      <c r="I39" s="5"/>
    </row>
    <row r="40" spans="1:9" x14ac:dyDescent="0.25">
      <c r="A40" s="14">
        <v>45054</v>
      </c>
      <c r="B40" s="15">
        <f t="shared" ref="B40" si="38">WEEKNUM(A40)</f>
        <v>19</v>
      </c>
      <c r="C40" s="16">
        <v>1</v>
      </c>
      <c r="D40" s="17" t="s">
        <v>10</v>
      </c>
      <c r="E40" s="18" t="s">
        <v>50</v>
      </c>
      <c r="F40" s="18" t="s">
        <v>51</v>
      </c>
      <c r="I40" s="5"/>
    </row>
    <row r="41" spans="1:9" x14ac:dyDescent="0.25">
      <c r="A41" s="14">
        <v>45054</v>
      </c>
      <c r="B41" s="15">
        <f t="shared" ref="B41" si="39">WEEKNUM(A41)</f>
        <v>19</v>
      </c>
      <c r="C41" s="16">
        <v>0.5</v>
      </c>
      <c r="D41" s="17" t="s">
        <v>6</v>
      </c>
      <c r="E41" s="18" t="s">
        <v>49</v>
      </c>
      <c r="F41" s="18"/>
      <c r="I41" s="5"/>
    </row>
    <row r="42" spans="1:9" ht="30" x14ac:dyDescent="0.25">
      <c r="A42" s="14">
        <v>45054</v>
      </c>
      <c r="B42" s="15">
        <f t="shared" ref="B42" si="40">WEEKNUM(A42)</f>
        <v>19</v>
      </c>
      <c r="C42" s="16">
        <v>0.5</v>
      </c>
      <c r="D42" s="17" t="s">
        <v>6</v>
      </c>
      <c r="E42" s="18" t="s">
        <v>47</v>
      </c>
      <c r="F42" s="18"/>
      <c r="I42" s="5"/>
    </row>
    <row r="43" spans="1:9" ht="30" x14ac:dyDescent="0.25">
      <c r="A43" s="14">
        <v>45054</v>
      </c>
      <c r="B43" s="15">
        <f t="shared" ref="B43" si="41">WEEKNUM(A43)</f>
        <v>19</v>
      </c>
      <c r="C43" s="16">
        <v>0.25</v>
      </c>
      <c r="D43" s="17" t="s">
        <v>6</v>
      </c>
      <c r="E43" s="18" t="s">
        <v>46</v>
      </c>
      <c r="F43" s="18" t="s">
        <v>48</v>
      </c>
      <c r="I43" s="5"/>
    </row>
    <row r="44" spans="1:9" ht="30" x14ac:dyDescent="0.25">
      <c r="A44" s="14">
        <v>45054</v>
      </c>
      <c r="B44" s="15">
        <f t="shared" ref="B44" si="42">WEEKNUM(A44)</f>
        <v>19</v>
      </c>
      <c r="C44" s="16">
        <v>0.5</v>
      </c>
      <c r="D44" s="17" t="s">
        <v>10</v>
      </c>
      <c r="E44" s="18" t="s">
        <v>44</v>
      </c>
      <c r="F44" s="18" t="s">
        <v>45</v>
      </c>
      <c r="I44" s="5"/>
    </row>
    <row r="45" spans="1:9" x14ac:dyDescent="0.25">
      <c r="A45" s="14">
        <v>45054</v>
      </c>
      <c r="B45" s="15">
        <f t="shared" ref="B45" si="43">WEEKNUM(A45)</f>
        <v>19</v>
      </c>
      <c r="C45" s="16">
        <v>0.5</v>
      </c>
      <c r="D45" s="17" t="s">
        <v>6</v>
      </c>
      <c r="E45" s="18" t="s">
        <v>43</v>
      </c>
      <c r="F45" s="18"/>
      <c r="I45" s="5"/>
    </row>
    <row r="46" spans="1:9" ht="30" x14ac:dyDescent="0.25">
      <c r="A46" s="14">
        <v>45054</v>
      </c>
      <c r="B46" s="15">
        <f t="shared" ref="B46" si="44">WEEKNUM(A46)</f>
        <v>19</v>
      </c>
      <c r="C46" s="16">
        <v>0.75</v>
      </c>
      <c r="D46" s="17" t="s">
        <v>6</v>
      </c>
      <c r="E46" s="18" t="s">
        <v>41</v>
      </c>
      <c r="F46" s="18" t="s">
        <v>42</v>
      </c>
      <c r="I46" s="5"/>
    </row>
    <row r="47" spans="1:9" ht="30" x14ac:dyDescent="0.25">
      <c r="A47" s="14">
        <v>45054</v>
      </c>
      <c r="B47" s="15">
        <f t="shared" ref="B47" si="45">WEEKNUM(A47)</f>
        <v>19</v>
      </c>
      <c r="C47" s="16">
        <v>0.25</v>
      </c>
      <c r="D47" s="17" t="s">
        <v>10</v>
      </c>
      <c r="E47" s="18" t="s">
        <v>39</v>
      </c>
      <c r="F47" s="18" t="s">
        <v>40</v>
      </c>
      <c r="I47" s="5"/>
    </row>
    <row r="48" spans="1:9" x14ac:dyDescent="0.25">
      <c r="A48" s="14">
        <v>45051</v>
      </c>
      <c r="B48" s="15">
        <f t="shared" ref="B48" si="46">WEEKNUM(A48)</f>
        <v>18</v>
      </c>
      <c r="C48" s="16">
        <v>0.5</v>
      </c>
      <c r="D48" s="17" t="s">
        <v>8</v>
      </c>
      <c r="E48" s="18" t="s">
        <v>37</v>
      </c>
      <c r="F48" s="18" t="s">
        <v>38</v>
      </c>
      <c r="I48" s="5"/>
    </row>
    <row r="49" spans="1:9" x14ac:dyDescent="0.25">
      <c r="A49" s="14">
        <v>45051</v>
      </c>
      <c r="B49" s="15">
        <f t="shared" ref="B49" si="47">WEEKNUM(A49)</f>
        <v>18</v>
      </c>
      <c r="C49" s="16">
        <v>0.5</v>
      </c>
      <c r="D49" s="17" t="s">
        <v>8</v>
      </c>
      <c r="E49" s="18" t="s">
        <v>35</v>
      </c>
      <c r="F49" s="18" t="s">
        <v>36</v>
      </c>
      <c r="I49" s="5"/>
    </row>
    <row r="50" spans="1:9" ht="30" x14ac:dyDescent="0.25">
      <c r="A50" s="14">
        <v>45051</v>
      </c>
      <c r="B50" s="15">
        <f t="shared" ref="B50" si="48">WEEKNUM(A50)</f>
        <v>18</v>
      </c>
      <c r="C50" s="16">
        <v>0.5</v>
      </c>
      <c r="D50" s="17" t="s">
        <v>10</v>
      </c>
      <c r="E50" s="18" t="s">
        <v>33</v>
      </c>
      <c r="F50" s="18" t="s">
        <v>34</v>
      </c>
      <c r="I50" s="5"/>
    </row>
    <row r="51" spans="1:9" x14ac:dyDescent="0.25">
      <c r="A51" s="14">
        <v>45051</v>
      </c>
      <c r="B51" s="15">
        <f t="shared" ref="B51" si="49">WEEKNUM(A51)</f>
        <v>18</v>
      </c>
      <c r="C51" s="16">
        <v>0.25</v>
      </c>
      <c r="D51" s="17" t="s">
        <v>8</v>
      </c>
      <c r="E51" s="18" t="s">
        <v>31</v>
      </c>
      <c r="F51" s="18" t="s">
        <v>32</v>
      </c>
      <c r="I51" s="5"/>
    </row>
    <row r="52" spans="1:9" x14ac:dyDescent="0.25">
      <c r="A52" s="14">
        <v>45051</v>
      </c>
      <c r="B52" s="15">
        <f t="shared" ref="B52" si="50">WEEKNUM(A52)</f>
        <v>18</v>
      </c>
      <c r="C52" s="16">
        <v>0.5</v>
      </c>
      <c r="D52" s="17" t="s">
        <v>8</v>
      </c>
      <c r="E52" s="18" t="s">
        <v>30</v>
      </c>
      <c r="F52" s="18"/>
      <c r="I52" s="5"/>
    </row>
    <row r="53" spans="1:9" x14ac:dyDescent="0.25">
      <c r="A53" s="14">
        <v>45051</v>
      </c>
      <c r="B53" s="15">
        <f t="shared" ref="B53" si="51">WEEKNUM(A53)</f>
        <v>18</v>
      </c>
      <c r="C53" s="16">
        <v>0.25</v>
      </c>
      <c r="D53" s="17" t="s">
        <v>8</v>
      </c>
      <c r="E53" s="18" t="s">
        <v>29</v>
      </c>
      <c r="F53" s="18"/>
      <c r="I53" s="5"/>
    </row>
    <row r="54" spans="1:9" ht="45" x14ac:dyDescent="0.25">
      <c r="A54" s="14">
        <v>45051</v>
      </c>
      <c r="B54" s="15">
        <f t="shared" ref="B54" si="52">WEEKNUM(A54)</f>
        <v>18</v>
      </c>
      <c r="C54" s="16">
        <v>1.25</v>
      </c>
      <c r="D54" s="17" t="s">
        <v>6</v>
      </c>
      <c r="E54" s="18" t="s">
        <v>27</v>
      </c>
      <c r="F54" s="18" t="s">
        <v>28</v>
      </c>
      <c r="I54" s="5"/>
    </row>
    <row r="55" spans="1:9" x14ac:dyDescent="0.25">
      <c r="A55" s="14">
        <v>45051</v>
      </c>
      <c r="B55" s="15">
        <f t="shared" ref="B55" si="53">WEEKNUM(A55)</f>
        <v>18</v>
      </c>
      <c r="C55" s="16">
        <v>1.25</v>
      </c>
      <c r="D55" s="17" t="s">
        <v>6</v>
      </c>
      <c r="E55" s="18" t="s">
        <v>26</v>
      </c>
      <c r="F55" s="18"/>
      <c r="I55" s="5"/>
    </row>
    <row r="56" spans="1:9" x14ac:dyDescent="0.25">
      <c r="A56" s="14">
        <v>45051</v>
      </c>
      <c r="B56" s="15">
        <f t="shared" ref="B56" si="54">WEEKNUM(A56)</f>
        <v>18</v>
      </c>
      <c r="C56" s="16">
        <v>0.25</v>
      </c>
      <c r="D56" s="17" t="s">
        <v>6</v>
      </c>
      <c r="E56" s="18" t="s">
        <v>24</v>
      </c>
      <c r="F56" s="18" t="s">
        <v>25</v>
      </c>
      <c r="I56" s="5"/>
    </row>
    <row r="57" spans="1:9" x14ac:dyDescent="0.25">
      <c r="A57" s="14">
        <v>45050</v>
      </c>
      <c r="B57" s="15">
        <f t="shared" ref="B57" si="55">WEEKNUM(A57)</f>
        <v>18</v>
      </c>
      <c r="C57" s="16">
        <v>1.5</v>
      </c>
      <c r="D57" s="17" t="s">
        <v>6</v>
      </c>
      <c r="E57" s="18" t="s">
        <v>24</v>
      </c>
      <c r="F57" s="18" t="s">
        <v>25</v>
      </c>
      <c r="I57" s="5"/>
    </row>
    <row r="58" spans="1:9" x14ac:dyDescent="0.25">
      <c r="A58" s="14">
        <v>45050</v>
      </c>
      <c r="B58" s="15">
        <f t="shared" ref="B58" si="56">WEEKNUM(A58)</f>
        <v>18</v>
      </c>
      <c r="C58" s="16">
        <v>1.25</v>
      </c>
      <c r="D58" s="17" t="s">
        <v>6</v>
      </c>
      <c r="E58" s="18" t="s">
        <v>23</v>
      </c>
      <c r="F58" s="18"/>
      <c r="I58" s="5"/>
    </row>
    <row r="59" spans="1:9" x14ac:dyDescent="0.25">
      <c r="A59" s="14">
        <v>45050</v>
      </c>
      <c r="B59" s="15">
        <f t="shared" ref="B59" si="57">WEEKNUM(A59)</f>
        <v>18</v>
      </c>
      <c r="C59" s="16">
        <v>0.5</v>
      </c>
      <c r="D59" s="17" t="s">
        <v>6</v>
      </c>
      <c r="E59" s="18" t="s">
        <v>22</v>
      </c>
      <c r="F59" s="18"/>
      <c r="I59" s="5"/>
    </row>
    <row r="60" spans="1:9" x14ac:dyDescent="0.25">
      <c r="A60" s="14">
        <v>45050</v>
      </c>
      <c r="B60" s="15">
        <f t="shared" ref="B60" si="58">WEEKNUM(A60)</f>
        <v>18</v>
      </c>
      <c r="C60" s="16">
        <v>0.5</v>
      </c>
      <c r="D60" s="17" t="s">
        <v>10</v>
      </c>
      <c r="E60" s="18" t="s">
        <v>21</v>
      </c>
      <c r="F60" s="18"/>
      <c r="I60" s="5"/>
    </row>
    <row r="61" spans="1:9" x14ac:dyDescent="0.25">
      <c r="A61" s="14">
        <v>45050</v>
      </c>
      <c r="B61" s="15">
        <f t="shared" ref="B61" si="59">WEEKNUM(A61)</f>
        <v>18</v>
      </c>
      <c r="C61" s="16">
        <v>0.25</v>
      </c>
      <c r="D61" s="17" t="s">
        <v>8</v>
      </c>
      <c r="E61" s="18" t="s">
        <v>20</v>
      </c>
      <c r="F61" s="18"/>
      <c r="I61" s="5"/>
    </row>
    <row r="62" spans="1:9" x14ac:dyDescent="0.25">
      <c r="A62" s="14">
        <v>45050</v>
      </c>
      <c r="B62" s="15">
        <f t="shared" ref="B62" si="60">WEEKNUM(A62)</f>
        <v>18</v>
      </c>
      <c r="C62" s="16">
        <v>0.25</v>
      </c>
      <c r="D62" s="17" t="s">
        <v>8</v>
      </c>
      <c r="E62" s="18" t="s">
        <v>18</v>
      </c>
      <c r="F62" s="18" t="s">
        <v>19</v>
      </c>
      <c r="I62" s="5"/>
    </row>
    <row r="63" spans="1:9" ht="30" x14ac:dyDescent="0.25">
      <c r="A63" s="14">
        <v>45050</v>
      </c>
      <c r="B63" s="15">
        <f t="shared" ref="B63" si="61">WEEKNUM(A63)</f>
        <v>18</v>
      </c>
      <c r="C63" s="16">
        <v>1</v>
      </c>
      <c r="D63" s="17" t="s">
        <v>6</v>
      </c>
      <c r="E63" s="18" t="s">
        <v>14</v>
      </c>
      <c r="F63" s="18" t="s">
        <v>17</v>
      </c>
      <c r="I63" s="5"/>
    </row>
    <row r="64" spans="1:9" ht="30" x14ac:dyDescent="0.25">
      <c r="A64" s="14">
        <v>45048</v>
      </c>
      <c r="B64" s="15">
        <f t="shared" ref="B64" si="62">WEEKNUM(A64)</f>
        <v>18</v>
      </c>
      <c r="C64" s="16">
        <v>6</v>
      </c>
      <c r="D64" s="17" t="s">
        <v>6</v>
      </c>
      <c r="E64" s="18" t="s">
        <v>14</v>
      </c>
      <c r="F64" s="18" t="s">
        <v>16</v>
      </c>
      <c r="I64" s="5"/>
    </row>
    <row r="65" spans="1:9" x14ac:dyDescent="0.25">
      <c r="A65" s="14">
        <v>45048</v>
      </c>
      <c r="B65" s="15">
        <f t="shared" ref="B65" si="63">WEEKNUM(A65)</f>
        <v>18</v>
      </c>
      <c r="C65" s="16">
        <v>0.25</v>
      </c>
      <c r="D65" s="17" t="s">
        <v>6</v>
      </c>
      <c r="E65" s="18" t="s">
        <v>13</v>
      </c>
      <c r="F65" s="18"/>
      <c r="I65" s="5"/>
    </row>
    <row r="66" spans="1:9" x14ac:dyDescent="0.25">
      <c r="A66" s="14">
        <v>45048</v>
      </c>
      <c r="B66" s="15">
        <f t="shared" ref="B66" si="64">WEEKNUM(A66)</f>
        <v>18</v>
      </c>
      <c r="C66" s="16">
        <v>0.75</v>
      </c>
      <c r="D66" s="17" t="s">
        <v>6</v>
      </c>
      <c r="E66" s="18" t="s">
        <v>15</v>
      </c>
      <c r="F66" s="18"/>
      <c r="I66" s="5"/>
    </row>
    <row r="67" spans="1:9" x14ac:dyDescent="0.25">
      <c r="A67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22.5</v>
      </c>
      <c r="C3" s="24">
        <f>SUMIF(Journal!D:D, "Implémentation", Journal!C:C)</f>
        <v>28.75</v>
      </c>
      <c r="D3" s="24">
        <f>SUMIF(Journal!D:D, "Tests", Journal!C:C)</f>
        <v>1.75</v>
      </c>
      <c r="E3" s="25">
        <f>SUMIF(Journal!D:D, "Documentation", Journal!C:C)</f>
        <v>3.25</v>
      </c>
      <c r="F3" s="27">
        <f>SUM(B3:E3)</f>
        <v>56.25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purl.org/dc/dcmitype/"/>
    <ds:schemaRef ds:uri="c00db93e-a012-41a1-8dae-1f2fb8b40d56"/>
    <ds:schemaRef ds:uri="http://purl.org/dc/elements/1.1/"/>
    <ds:schemaRef ds:uri="http://www.w3.org/XML/1998/namespace"/>
    <ds:schemaRef ds:uri="0119da2b-60ce-4773-88fa-ebab2cde1f55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2023-05-22T10:01:21Z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