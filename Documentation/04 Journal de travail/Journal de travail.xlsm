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CA6CF6D8-F7F0-463E-B664-6012EBA3A63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E3" i="4"/>
  <c r="D3" i="4"/>
  <c r="C3" i="4"/>
  <c r="B3" i="4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F3" i="4" l="1"/>
</calcChain>
</file>

<file path=xl/sharedStrings.xml><?xml version="1.0" encoding="utf-8"?>
<sst xmlns="http://schemas.openxmlformats.org/spreadsheetml/2006/main" count="265" uniqueCount="153">
  <si>
    <t>Jour</t>
  </si>
  <si>
    <t>Semaine</t>
  </si>
  <si>
    <t>Temps [h]</t>
  </si>
  <si>
    <t>Type</t>
  </si>
  <si>
    <t>Description</t>
  </si>
  <si>
    <t>Remarques/problèmes</t>
  </si>
  <si>
    <t>Analyse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</si>
  <si>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</si>
  <si>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</si>
  <si>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</si>
  <si>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</si>
  <si>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</si>
  <si>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</si>
  <si>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</si>
  <si>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</si>
  <si>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</si>
  <si>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</si>
  <si>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Création du repository GitHub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</si>
  <si>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</si>
  <si>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</si>
  <si>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</si>
  <si>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</si>
  <si>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</si>
  <si>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</si>
  <si>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</si>
  <si>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</si>
  <si>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</si>
  <si>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</si>
  <si>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</si>
  <si>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</si>
  <si>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</si>
  <si>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</si>
  <si>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</si>
  <si>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"navigation.php" et users.php"</t>
  </si>
  <si>
    <t>Modification de la mise en page + modification des sources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</si>
  <si>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</si>
  <si>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</si>
  <si>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</si>
  <si>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</si>
  <si>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Modification du MCD (Instruction, durée et difficulté des repas et description des articles)</t>
  </si>
  <si>
    <t>Modification du MLD (Instruction, durée et difficulté des repas et description des articles)</t>
  </si>
  <si>
    <t>Review avec M.Favre</t>
  </si>
  <si>
    <t>Modification de la doc en fonction des retours de M.Favre</t>
  </si>
  <si>
    <t>Modification des Uses Case en fonction des retours de M.Favre</t>
  </si>
  <si>
    <t>Modification pour "Utilisateur" et "Administrateur"</t>
  </si>
  <si>
    <t>Modification du MCD en fonction des retours de M.Favre</t>
  </si>
  <si>
    <t>Modification du MLD en fonction de la correction du MCD</t>
  </si>
  <si>
    <t>Création de la base de données</t>
  </si>
  <si>
    <t>J'ai eu de la peine à retrouver comment créer un utilisateur dans MySQL Workbench</t>
  </si>
  <si>
    <t>Liaison entre la DB et le PHP avec "dbConnector.php"</t>
  </si>
  <si>
    <t>Création du formulaire register</t>
  </si>
  <si>
    <t>Création du login</t>
  </si>
  <si>
    <t>Création du formulaire de login</t>
  </si>
  <si>
    <t>Création du register</t>
  </si>
  <si>
    <t>J'ai eu de la peine car j'avais oublié de donner des droits à l'utilisateur dans MySQL</t>
  </si>
  <si>
    <t>Affichage de la liste des utilisateurs</t>
  </si>
  <si>
    <t>Suppression d'un utilisateur</t>
  </si>
  <si>
    <t>J'ai dû chercher en ligne comment vérifier le format du mail (w3schools)</t>
  </si>
  <si>
    <t>Suppression des utilisateurs et administrateurs</t>
  </si>
  <si>
    <t>Ajout d'une enseigne</t>
  </si>
  <si>
    <t>Suppression d'une enseigne</t>
  </si>
  <si>
    <t>Affichage des articles</t>
  </si>
  <si>
    <t>Création des articles</t>
  </si>
  <si>
    <t>Total</t>
  </si>
  <si>
    <t>Création des articles (Ajout des prix par enseignes)</t>
  </si>
  <si>
    <t>MLD, changement du type pour le prix (int --&gt; decimal)</t>
  </si>
  <si>
    <t>Visite de l'expert 2</t>
  </si>
  <si>
    <t>Création de la stratégie de test</t>
  </si>
  <si>
    <t>Correction du type de prix (int --&gt; decimal)</t>
  </si>
  <si>
    <t>J'ai eu de la peine à faire correspondre les prix des articles aux bonnes enseignes</t>
  </si>
  <si>
    <t>Création des Repas</t>
  </si>
  <si>
    <t>J'ai eu de la difficulté avec les différents types de champs (j'ai laissé tomber la durée de préparation, car ce n'est pas essentiel, et je bloquais à cause de ça principalement).</t>
  </si>
  <si>
    <t>Affichage des repas avec les détails</t>
  </si>
  <si>
    <t>Affichage des menus</t>
  </si>
  <si>
    <t>Création d'un menu</t>
  </si>
  <si>
    <t>Configuration et ajout du site sur swisscenter</t>
  </si>
  <si>
    <t>Modification du MCD, du MLD, du script et des bases de données (local et swisscenter)</t>
  </si>
  <si>
    <t>Création du script qui permet d'ajouter les enseignes</t>
  </si>
  <si>
    <t>Création du script qui permet d'ajouter les comptes</t>
  </si>
  <si>
    <t>Création du script qui permet d'ajouter les repas</t>
  </si>
  <si>
    <t>Création du script qui permet d'ajouter les articles avec leurs prix</t>
  </si>
  <si>
    <t>Création du script qui permet d'ajouter les articles aux menus</t>
  </si>
  <si>
    <t>Affichage des ingrédients dans les détails des plats</t>
  </si>
  <si>
    <t>J'ai eu de la peine à trouver la bonne requête SQL. Je me suis aidé de ces 2 sources : https://sql.sh/cours/sous-requete et https://www.w3schools.com/sql/sql_min_max.asp</t>
  </si>
  <si>
    <t>Contrôle des commentaires dans le code</t>
  </si>
  <si>
    <t>Suppression des comptes depuis la liste des comptes (en tant qu'administrateur)</t>
  </si>
  <si>
    <t>Ajout d'administrateur</t>
  </si>
  <si>
    <t>Création du manuel d'utilisation</t>
  </si>
  <si>
    <t>Suppression d'un article dans la liste de commissions</t>
  </si>
  <si>
    <t>Le problème est que l'affichage de la liste de commissions, se fait directement, sans créer une entrée dans la table "shopping lists" qui doit ensuite être affichée</t>
  </si>
  <si>
    <t>Création d'une liste de commissions</t>
  </si>
  <si>
    <t>Le problème est que je m'emmêle les pinceaux avec ce que j'avais déjà fait et j'ai peur qu'en faisant ça je casse ce qui fonctionnait</t>
  </si>
  <si>
    <t>Complétion de l'arborescence</t>
  </si>
  <si>
    <t>Complétion du script de génération des articles (avec prix)</t>
  </si>
  <si>
    <t>J'ai dû corriger le code, car il fallait d'abord supprimer les clefs étrangères dans "signs_has_articles"</t>
  </si>
  <si>
    <t>Je n'arrive pas à faire en sorte que le type de compte soit "Administrator" dans le script SQL. Je ne sais pas comment passer le type du bouton "Ajouter un administrateur" et le garder à l'envoi du formulaire. J'aurai dû utiliser un formulaire différent de celui de l'inscription.</t>
  </si>
  <si>
    <t>J'ai dû corriger le code, car il fallait d'abord supprimer les clefs étrangères dans "menus" ainsi que les repas qui y sont liés dans "menus_has_foods"</t>
  </si>
  <si>
    <t>Affichage de la liste de commissions (Pour une seule enseigne)</t>
  </si>
  <si>
    <t>Je n'arrive pas à récupérer tous les prix par enseigne pour les additionner et trouver l'enseigne la moins chère, mais uniquement avec les articles sélectionnés</t>
  </si>
  <si>
    <t>Affichage de la liste de commissions (Pour toutes les enseignes)</t>
  </si>
  <si>
    <t>ça prend beaucoup de temps à vérifier quel article a quel id et quels articles doivent être dans chaque plat</t>
  </si>
  <si>
    <t>J'ai passé beaucoup de temps avant de trouver l'erreur d'une virgule à la place d'un point dans l'ajout des prix</t>
  </si>
  <si>
    <t>J'ai eu de la peine, car j'ai dû tout faire un à un en passant par le formulaire d'inscription pour récupérer un hash correct du mot de passe</t>
  </si>
  <si>
    <t>Modification de la base de données pour supprimer les ingrédients et lier directement les plats aux articles</t>
  </si>
  <si>
    <t>Modification de la base de données pour ajouter le nombre de personnes dans la table "menus_has_foods"</t>
  </si>
  <si>
    <t>Discussion avec M.Favre sur comment gérer le nombre de personnes pour un plat. Le problème est que si on le modifie, ça modifie le plat de référence.</t>
  </si>
  <si>
    <t>J'ai eu de la peine à ajouter le script de création des tables. Après discussion avec M.Favre je me suis connecté à distance depuis le client MySQL</t>
  </si>
  <si>
    <t>J'ai eu de la peine à vérifier en affichant les plats dans chaque menu</t>
  </si>
  <si>
    <t>J'ai eu de la peine à afficher les menus, même s'ils ne contiennent pas de recette</t>
  </si>
  <si>
    <t>Vérification des tests de création d'un plat</t>
  </si>
  <si>
    <t>J'ai eu de la peine à comprendre pourquoi des fois ça ne fonctionne pas (le problème est quand le texte entré contient un caractère tel que : ') maintenant, il affiche dans le message d'erreur que ça peut venir d'un caractère spécial.</t>
  </si>
  <si>
    <t>Correction de l'affichage de la liste des articles pour les trier par nom d'article puis par nom d'enseigne</t>
  </si>
  <si>
    <t>J'ai créé la stratégie de test en fonction des retours de M.Mveng</t>
  </si>
  <si>
    <t>Discussion du déroulement de la présentation, la gestion des tests, le suivi du planning et le rendu</t>
  </si>
  <si>
    <t>Complétion de la documentation, principalement l'arborescence</t>
  </si>
  <si>
    <t>J'ai de la peine à faire passer l'id de l'enseigne jusqu'à la création de l'article</t>
  </si>
  <si>
    <t>J'ai de la peine à récupérer le prix par enseigne pour les ajouter dans la table intermédiaire</t>
  </si>
  <si>
    <t>J'ai de la peine à récupérer le prix par enseigne car en faisant un double INNER JOIN je n'avais pas les mêmes enseignes pour les mêmes valeurs dans le tableau de prix (par exemple, [0] == 'Migros' pour un article alors que pour un autre, [0] sera 'Coop')
En nommant les entrées du tableu, le problème est de les récupérer dans l'affichage.
Le problème est résolu avec un CROSS JOIN</t>
  </si>
  <si>
    <t>J'ai de la peine à récupérer le prix par enseigne (Après avoir demandé à M.Favre, il m'a dit de faire un double INNER)</t>
  </si>
  <si>
    <t>J'ai eu de la peine à passer l'id de l'index au model (J'avais mis $_POST au lieu de $GET)</t>
  </si>
  <si>
    <t>J'ai eu de la peine à ne pas me perdre dans mes fichiers et dans mes fonctions, car j'ai mal à la tête.</t>
  </si>
  <si>
    <t>J'ai eu de la peine pour vérifier qu'il reste bien un administrateur. De plus j'ai de la peine à me concentrer, car j'ai mal à la tête.</t>
  </si>
  <si>
    <t>Tests des champs du register (tout les champs sont remplis, l'email n'existe pas déjà, le format du mail est correct, les mots de passe sont identiques)</t>
  </si>
  <si>
    <t>J'ai eu de la peine à récupérer l'id des utilisateurs et administrateurs</t>
  </si>
  <si>
    <t>J'ai n'ai pas fait dans le bon ordre car pour accéder au register, c'est depuis la page login</t>
  </si>
  <si>
    <t>Fusion des entités "Utilisateurs" et "Administrateurs" Suppression de toute la partie Unités de mesures qui est maintenant intégrée à "Articles" suppression de tout les Id et modification de "Repas".</t>
  </si>
  <si>
    <t>Masquer les titres vides, Introdction, Organisation, Méthodologie</t>
  </si>
  <si>
    <t>Je me suis rendu compte de ces modifications en créant les maquettes</t>
  </si>
  <si>
    <t>J'ai eu de la peine, car j'ai dû exporter les maquettes en pdf et en faire des captures d'écran.</t>
  </si>
  <si>
    <t>J'ai changé les tailles des uses cases pour que les 3 images passent sur une page. Comme proposé par M.Oberson</t>
  </si>
  <si>
    <t>Création des controllers</t>
  </si>
  <si>
    <t>Les fichiers CSS sont repris de mon portfolio</t>
  </si>
  <si>
    <t>Création des dossiers (MVC)</t>
  </si>
  <si>
    <t>Tout s'est bien passé</t>
  </si>
  <si>
    <t>J'ai terminé la planification initiale, mais j'ai eu de la peine avec le temps chaque jour</t>
  </si>
  <si>
    <t>Correction des fautes</t>
  </si>
  <si>
    <t>Je suis revenu en arrière dans la création de la liste de commissions,  car je n'aurais pas le temps d'ajouter la possibilité de modifier une liste de commissions.</t>
  </si>
  <si>
    <t>J'ai eu de la peine à retrouver quelles parties du code il faut commenter ou décommenter</t>
  </si>
  <si>
    <t>Complétion de la description des tests effectués dans la documentation</t>
  </si>
  <si>
    <t>J'ai dû recommencer plusieurs fois car le travail que j'ai fait s'est effacé à cause d'un problème de réseau au CPNV</t>
  </si>
  <si>
    <t>Création de la planification finale</t>
  </si>
  <si>
    <t>Complétion des tests dans la documentation</t>
  </si>
  <si>
    <t>Structure et mise en page de la documentation (en-têtes et pieds de pages, styles, page de garde et tableaux)</t>
  </si>
  <si>
    <t>J'ai refait la mise en page selon les conseils de Luca GATTO</t>
  </si>
  <si>
    <t>Complétion de la conclusion</t>
  </si>
  <si>
    <t>Création du résumé</t>
  </si>
  <si>
    <t>Création de la table des illustrations et correction des légendes</t>
  </si>
  <si>
    <t>Complétion du résumé</t>
  </si>
  <si>
    <t>Vérification des points manquants ainsi que la lisibilité des images</t>
  </si>
  <si>
    <t>Mise à jour du site en ligne et recréation de la base de données avec l'ajout des données</t>
  </si>
  <si>
    <t>J'ai eu de la peine à trouver l'ordre de suppression des tables. Suivant l'ordre de DROP des tables, il y a des erreurs</t>
  </si>
  <si>
    <t>Complétion de la planification finale</t>
  </si>
  <si>
    <t>Complétion des sources et autres points manquants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</si>
</sst>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2" fontId="0" fillId="0" borderId="0" xfId="0" applyNumberFormat="1" applyProtection="1">
      <protection locked="0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</cellXfs>
  <cellStyles count="1">
    <cellStyle name="Normal" xfId="0" builtinId="0"/>
  </cellStyles>
  <dxfs count="8">
    <dxf>
      <font>
        <b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5FAF23-C5BF-4762-ABDF-B76D6DE090A2}" name="Tableau2" displayName="Tableau2" ref="B2:F3" totalsRowShown="0" headerRowDxfId="7" headerRowBorderDxfId="6" tableBorderDxfId="5">
  <autoFilter ref="B2:F3" xr:uid="{5F5FAF23-C5BF-4762-ABDF-B76D6DE090A2}"/>
  <tableColumns count="5">
    <tableColumn id="1" xr3:uid="{B1FE528D-92A1-4149-8777-75C2200FCBB6}" name="Analyse" dataDxfId="4">
      <calculatedColumnFormula>SUMIF(Journal!D:D, "Analyse", Journal!C:C)</calculatedColumnFormula>
    </tableColumn>
    <tableColumn id="2" xr3:uid="{19A87432-BC1B-4606-A386-0B65F6CF0A21}" name="Implémentation" dataDxfId="3">
      <calculatedColumnFormula>SUMIF(Journal!D:D, "Implémentation", Journal!C:C)</calculatedColumnFormula>
    </tableColumn>
    <tableColumn id="3" xr3:uid="{EAF420EF-45AE-4DDC-B9F7-D5B220BF0F49}" name="Tests" dataDxfId="2">
      <calculatedColumnFormula>SUMIF(Journal!D:D, "Tests", Journal!C:C)</calculatedColumnFormula>
    </tableColumn>
    <tableColumn id="4" xr3:uid="{FCB43879-1104-49FD-A4A7-AC8574BE2BF5}" name="Documentation" dataDxfId="1">
      <calculatedColumnFormula>SUMIF(Journal!D:D, "Documentation", Journal!C:C)</calculatedColumnFormula>
    </tableColumn>
    <tableColumn id="5" xr3:uid="{01364F78-4A02-4FBF-B98B-97241F9065DA}" name="Total" dataDxfId="0">
      <calculatedColumnFormula>SUM(B3:E3)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99"/>
  <sheetViews>
    <sheetView showGridLines="0" tabSelected="1" zoomScaleNormal="100" zoomScaleSheetLayoutView="130" zoomScalePageLayoutView="40" workbookViewId="0"/>
  </sheetViews>
  <sheetFormatPr baseColWidth="10" defaultColWidth="9.140625" defaultRowHeight="15" x14ac:dyDescent="0.25"/>
  <cols>
    <col min="1" max="1" width="9.42578125" style="3" bestFit="1" customWidth="1"/>
    <col min="2" max="2" width="11.140625" style="8" bestFit="1" customWidth="1"/>
    <col min="3" max="3" width="13" style="6" bestFit="1" customWidth="1"/>
    <col min="4" max="4" width="16.42578125" style="3" bestFit="1" customWidth="1"/>
    <col min="5" max="6" width="70.7109375" style="7" customWidth="1"/>
    <col min="7" max="16384" width="9.140625" style="4"/>
  </cols>
  <sheetData>
    <row r="1" spans="1:9" ht="24" customHeight="1" x14ac:dyDescent="0.25">
      <c r="A1" s="10" t="s">
        <v>0</v>
      </c>
      <c r="B1" s="11" t="s">
        <v>1</v>
      </c>
      <c r="C1" s="12" t="s">
        <v>2</v>
      </c>
      <c r="D1" s="10" t="s">
        <v>3</v>
      </c>
      <c r="E1" s="13" t="s">
        <v>4</v>
      </c>
      <c r="F1" s="13" t="s">
        <v>5</v>
      </c>
      <c r="H1" s="19"/>
    </row>
    <row r="2" spans="1:9" x14ac:dyDescent="0.25">
      <c r="A2" s="14">
        <v>45079</v>
      </c>
      <c r="B2" s="15">
        <f t="shared" ref="B2" si="0">WEEKNUM(A2)</f>
        <v>22</v>
      </c>
      <c r="C2" s="16">
        <v>1</v>
      </c>
      <c r="D2" s="17" t="s">
        <v>10</v>
      </c>
      <c r="E2" s="18" t="s">
        <v>152</v>
      </c>
      <c r="F2" s="18"/>
      <c r="H2" s="19"/>
      <c r="I2" s="19"/>
    </row>
    <row r="3" spans="1:9" x14ac:dyDescent="0.25">
      <c r="A3" s="14">
        <v>45079</v>
      </c>
      <c r="B3" s="15">
        <f t="shared" ref="B3" si="1">WEEKNUM(A3)</f>
        <v>22</v>
      </c>
      <c r="C3" s="16">
        <v>0.25</v>
      </c>
      <c r="D3" s="17" t="s">
        <v>10</v>
      </c>
      <c r="E3" s="18" t="s">
        <v>151</v>
      </c>
      <c r="F3" s="18"/>
      <c r="H3" s="19"/>
      <c r="I3" s="19"/>
    </row>
    <row r="4" spans="1:9" ht="30" x14ac:dyDescent="0.25">
      <c r="A4" s="14">
        <v>45079</v>
      </c>
      <c r="B4" s="15">
        <f t="shared" ref="B4" si="2">WEEKNUM(A4)</f>
        <v>22</v>
      </c>
      <c r="C4" s="16">
        <v>0.5</v>
      </c>
      <c r="D4" s="17" t="s">
        <v>8</v>
      </c>
      <c r="E4" s="18" t="s">
        <v>149</v>
      </c>
      <c r="F4" s="18" t="s">
        <v>150</v>
      </c>
      <c r="H4" s="19"/>
      <c r="I4" s="19"/>
    </row>
    <row r="5" spans="1:9" x14ac:dyDescent="0.25">
      <c r="A5" s="14">
        <v>45079</v>
      </c>
      <c r="B5" s="15">
        <f t="shared" ref="B5" si="3">WEEKNUM(A5)</f>
        <v>22</v>
      </c>
      <c r="C5" s="16">
        <v>1</v>
      </c>
      <c r="D5" s="17" t="s">
        <v>10</v>
      </c>
      <c r="E5" s="18" t="s">
        <v>147</v>
      </c>
      <c r="F5" s="18"/>
      <c r="H5" s="19"/>
      <c r="I5" s="19"/>
    </row>
    <row r="6" spans="1:9" x14ac:dyDescent="0.25">
      <c r="A6" s="14">
        <v>45079</v>
      </c>
      <c r="B6" s="15">
        <f t="shared" ref="B6" si="4">WEEKNUM(A6)</f>
        <v>22</v>
      </c>
      <c r="C6" s="16">
        <v>1</v>
      </c>
      <c r="D6" s="17" t="s">
        <v>10</v>
      </c>
      <c r="E6" s="18" t="s">
        <v>148</v>
      </c>
      <c r="F6" s="18"/>
      <c r="H6" s="19"/>
      <c r="I6" s="19"/>
    </row>
    <row r="7" spans="1:9" x14ac:dyDescent="0.25">
      <c r="A7" s="14">
        <v>45079</v>
      </c>
      <c r="B7" s="15">
        <f t="shared" ref="B7" si="5">WEEKNUM(A7)</f>
        <v>22</v>
      </c>
      <c r="C7" s="16">
        <v>0.25</v>
      </c>
      <c r="D7" s="17" t="s">
        <v>10</v>
      </c>
      <c r="E7" s="18" t="s">
        <v>146</v>
      </c>
      <c r="F7" s="18"/>
      <c r="H7" s="19"/>
      <c r="I7" s="19"/>
    </row>
    <row r="8" spans="1:9" x14ac:dyDescent="0.25">
      <c r="A8" s="14">
        <v>45079</v>
      </c>
      <c r="B8" s="15">
        <f t="shared" ref="B8" si="6">WEEKNUM(A8)</f>
        <v>22</v>
      </c>
      <c r="C8" s="16">
        <v>0.25</v>
      </c>
      <c r="D8" s="17" t="s">
        <v>10</v>
      </c>
      <c r="E8" s="18" t="s">
        <v>145</v>
      </c>
      <c r="F8" s="18"/>
      <c r="H8" s="19"/>
      <c r="I8" s="19"/>
    </row>
    <row r="9" spans="1:9" x14ac:dyDescent="0.25">
      <c r="A9" s="14">
        <v>45079</v>
      </c>
      <c r="B9" s="15">
        <f t="shared" ref="B9" si="7">WEEKNUM(A9)</f>
        <v>22</v>
      </c>
      <c r="C9" s="16">
        <v>0.5</v>
      </c>
      <c r="D9" s="17" t="s">
        <v>10</v>
      </c>
      <c r="E9" s="18" t="s">
        <v>144</v>
      </c>
      <c r="F9" s="18"/>
      <c r="H9" s="19"/>
      <c r="I9" s="19"/>
    </row>
    <row r="10" spans="1:9" ht="30" x14ac:dyDescent="0.25">
      <c r="A10" s="14">
        <v>45079</v>
      </c>
      <c r="B10" s="15">
        <f t="shared" ref="B10" si="8">WEEKNUM(A10)</f>
        <v>22</v>
      </c>
      <c r="C10" s="16">
        <v>2</v>
      </c>
      <c r="D10" s="17" t="s">
        <v>10</v>
      </c>
      <c r="E10" s="18" t="s">
        <v>142</v>
      </c>
      <c r="F10" s="18" t="s">
        <v>143</v>
      </c>
      <c r="H10" s="19"/>
      <c r="I10" s="19"/>
    </row>
    <row r="11" spans="1:9" x14ac:dyDescent="0.25">
      <c r="A11" s="14">
        <v>45078</v>
      </c>
      <c r="B11" s="15">
        <f t="shared" ref="B11" si="9">WEEKNUM(A11)</f>
        <v>22</v>
      </c>
      <c r="C11" s="16">
        <v>1.75</v>
      </c>
      <c r="D11" s="17" t="s">
        <v>9</v>
      </c>
      <c r="E11" s="18" t="s">
        <v>141</v>
      </c>
      <c r="F11" s="18"/>
      <c r="H11" s="19"/>
      <c r="I11" s="19"/>
    </row>
    <row r="12" spans="1:9" x14ac:dyDescent="0.25">
      <c r="A12" s="14">
        <v>45078</v>
      </c>
      <c r="B12" s="15">
        <f t="shared" ref="B12" si="10">WEEKNUM(A12)</f>
        <v>22</v>
      </c>
      <c r="C12" s="16">
        <v>1.5</v>
      </c>
      <c r="D12" s="17" t="s">
        <v>10</v>
      </c>
      <c r="E12" s="18" t="s">
        <v>140</v>
      </c>
      <c r="F12" s="18"/>
      <c r="H12" s="19"/>
      <c r="I12" s="19"/>
    </row>
    <row r="13" spans="1:9" ht="30" x14ac:dyDescent="0.25">
      <c r="A13" s="14">
        <v>45076</v>
      </c>
      <c r="B13" s="15">
        <f t="shared" ref="B13" si="11">WEEKNUM(A13)</f>
        <v>22</v>
      </c>
      <c r="C13" s="16">
        <v>3</v>
      </c>
      <c r="D13" s="17" t="s">
        <v>10</v>
      </c>
      <c r="E13" s="18" t="s">
        <v>140</v>
      </c>
      <c r="F13" s="18" t="s">
        <v>139</v>
      </c>
      <c r="H13" s="19"/>
      <c r="I13" s="19"/>
    </row>
    <row r="14" spans="1:9" ht="30" x14ac:dyDescent="0.25">
      <c r="A14" s="14">
        <v>45076</v>
      </c>
      <c r="B14" s="15">
        <f t="shared" ref="B14" si="12">WEEKNUM(A14)</f>
        <v>22</v>
      </c>
      <c r="C14" s="16">
        <v>0.5</v>
      </c>
      <c r="D14" s="17" t="s">
        <v>9</v>
      </c>
      <c r="E14" s="18" t="s">
        <v>138</v>
      </c>
      <c r="F14" s="18"/>
      <c r="H14" s="19"/>
      <c r="I14" s="19"/>
    </row>
    <row r="15" spans="1:9" ht="45" x14ac:dyDescent="0.25">
      <c r="A15" s="14">
        <v>45076</v>
      </c>
      <c r="B15" s="15">
        <f t="shared" ref="B15" si="13">WEEKNUM(A15)</f>
        <v>22</v>
      </c>
      <c r="C15" s="16">
        <v>0.5</v>
      </c>
      <c r="D15" s="17" t="s">
        <v>8</v>
      </c>
      <c r="E15" s="18" t="s">
        <v>136</v>
      </c>
      <c r="F15" s="18" t="s">
        <v>137</v>
      </c>
      <c r="H15" s="19"/>
      <c r="I15" s="19"/>
    </row>
    <row r="16" spans="1:9" x14ac:dyDescent="0.25">
      <c r="A16" s="14">
        <v>45076</v>
      </c>
      <c r="B16" s="15">
        <f t="shared" ref="B16" si="14">WEEKNUM(A16)</f>
        <v>22</v>
      </c>
      <c r="C16" s="16">
        <v>1.25</v>
      </c>
      <c r="D16" s="17" t="s">
        <v>10</v>
      </c>
      <c r="E16" s="18" t="s">
        <v>135</v>
      </c>
      <c r="F16" s="18"/>
      <c r="H16" s="19"/>
      <c r="I16" s="19"/>
    </row>
    <row r="17" spans="1:9" ht="30" x14ac:dyDescent="0.25">
      <c r="A17" s="14">
        <v>45072</v>
      </c>
      <c r="B17" s="15">
        <f t="shared" ref="B17" si="15">WEEKNUM(A17)</f>
        <v>21</v>
      </c>
      <c r="C17" s="16">
        <v>1.25</v>
      </c>
      <c r="D17" s="17" t="s">
        <v>8</v>
      </c>
      <c r="E17" s="18" t="s">
        <v>90</v>
      </c>
      <c r="F17" s="18" t="s">
        <v>91</v>
      </c>
      <c r="H17" s="19"/>
      <c r="I17" s="19"/>
    </row>
    <row r="18" spans="1:9" ht="45" x14ac:dyDescent="0.25">
      <c r="A18" s="14">
        <v>45072</v>
      </c>
      <c r="B18" s="15">
        <f t="shared" ref="B18" si="16">WEEKNUM(A18)</f>
        <v>21</v>
      </c>
      <c r="C18" s="16">
        <v>0.5</v>
      </c>
      <c r="D18" s="17" t="s">
        <v>8</v>
      </c>
      <c r="E18" s="18" t="s">
        <v>88</v>
      </c>
      <c r="F18" s="18" t="s">
        <v>89</v>
      </c>
      <c r="H18" s="19"/>
      <c r="I18" s="19"/>
    </row>
    <row r="19" spans="1:9" x14ac:dyDescent="0.25">
      <c r="A19" s="14">
        <v>45072</v>
      </c>
      <c r="B19" s="15">
        <f t="shared" ref="B19" si="17">WEEKNUM(A19)</f>
        <v>21</v>
      </c>
      <c r="C19" s="16">
        <v>0.5</v>
      </c>
      <c r="D19" s="17" t="s">
        <v>10</v>
      </c>
      <c r="E19" s="18" t="s">
        <v>92</v>
      </c>
      <c r="F19" s="18"/>
      <c r="H19" s="19"/>
      <c r="I19" s="19"/>
    </row>
    <row r="20" spans="1:9" x14ac:dyDescent="0.25">
      <c r="A20" s="14">
        <v>45072</v>
      </c>
      <c r="B20" s="15">
        <f t="shared" ref="B20" si="18">WEEKNUM(A20)</f>
        <v>21</v>
      </c>
      <c r="C20" s="16">
        <v>0.75</v>
      </c>
      <c r="D20" s="17" t="s">
        <v>10</v>
      </c>
      <c r="E20" s="18" t="s">
        <v>87</v>
      </c>
      <c r="F20" s="18"/>
      <c r="H20" s="19"/>
      <c r="I20" s="19"/>
    </row>
    <row r="21" spans="1:9" x14ac:dyDescent="0.25">
      <c r="A21" s="14">
        <v>45072</v>
      </c>
      <c r="B21" s="15">
        <f t="shared" ref="B21" si="19">WEEKNUM(A21)</f>
        <v>21</v>
      </c>
      <c r="C21" s="16">
        <v>0.5</v>
      </c>
      <c r="D21" s="17" t="s">
        <v>8</v>
      </c>
      <c r="E21" s="18" t="s">
        <v>93</v>
      </c>
      <c r="F21" s="18"/>
      <c r="H21" s="19"/>
      <c r="I21" s="19"/>
    </row>
    <row r="22" spans="1:9" ht="30" x14ac:dyDescent="0.25">
      <c r="A22" s="14">
        <v>45072</v>
      </c>
      <c r="B22" s="15">
        <f t="shared" ref="B22" si="20">WEEKNUM(A22)</f>
        <v>21</v>
      </c>
      <c r="C22" s="16">
        <v>0.5</v>
      </c>
      <c r="D22" s="17" t="s">
        <v>8</v>
      </c>
      <c r="E22" s="18" t="s">
        <v>60</v>
      </c>
      <c r="F22" s="18" t="s">
        <v>94</v>
      </c>
      <c r="H22" s="19"/>
      <c r="I22" s="19"/>
    </row>
    <row r="23" spans="1:9" ht="75" x14ac:dyDescent="0.25">
      <c r="A23" s="14">
        <v>45072</v>
      </c>
      <c r="B23" s="15">
        <f t="shared" ref="B23" si="21">WEEKNUM(A23)</f>
        <v>21</v>
      </c>
      <c r="C23" s="16">
        <v>0.5</v>
      </c>
      <c r="D23" s="17" t="s">
        <v>8</v>
      </c>
      <c r="E23" s="18" t="s">
        <v>86</v>
      </c>
      <c r="F23" s="18" t="s">
        <v>95</v>
      </c>
      <c r="H23" s="19"/>
      <c r="I23" s="19"/>
    </row>
    <row r="24" spans="1:9" ht="45" x14ac:dyDescent="0.25">
      <c r="A24" s="14">
        <v>45072</v>
      </c>
      <c r="B24" s="15">
        <f t="shared" ref="B24" si="22">WEEKNUM(A24)</f>
        <v>21</v>
      </c>
      <c r="C24" s="16">
        <v>0.5</v>
      </c>
      <c r="D24" s="17" t="s">
        <v>8</v>
      </c>
      <c r="E24" s="18" t="s">
        <v>85</v>
      </c>
      <c r="F24" s="18" t="s">
        <v>96</v>
      </c>
      <c r="H24" s="19"/>
      <c r="I24" s="19"/>
    </row>
    <row r="25" spans="1:9" x14ac:dyDescent="0.25">
      <c r="A25" s="14">
        <v>45072</v>
      </c>
      <c r="B25" s="15">
        <f t="shared" ref="B25" si="23">WEEKNUM(A25)</f>
        <v>21</v>
      </c>
      <c r="C25" s="16">
        <v>0.25</v>
      </c>
      <c r="D25" s="17" t="s">
        <v>8</v>
      </c>
      <c r="E25" s="18" t="s">
        <v>84</v>
      </c>
      <c r="F25" s="18"/>
      <c r="H25" s="19"/>
      <c r="I25" s="19"/>
    </row>
    <row r="26" spans="1:9" ht="45" x14ac:dyDescent="0.25">
      <c r="A26" s="14">
        <v>45071</v>
      </c>
      <c r="B26" s="15">
        <f t="shared" ref="B26" si="24">WEEKNUM(A26)</f>
        <v>21</v>
      </c>
      <c r="C26" s="16">
        <v>2</v>
      </c>
      <c r="D26" s="17" t="s">
        <v>8</v>
      </c>
      <c r="E26" s="18" t="s">
        <v>97</v>
      </c>
      <c r="F26" s="18" t="s">
        <v>98</v>
      </c>
      <c r="H26" s="19"/>
      <c r="I26" s="19"/>
    </row>
    <row r="27" spans="1:9" ht="45" x14ac:dyDescent="0.25">
      <c r="A27" s="14">
        <v>45071</v>
      </c>
      <c r="B27" s="15">
        <f t="shared" ref="B27" si="25">WEEKNUM(A27)</f>
        <v>21</v>
      </c>
      <c r="C27" s="16">
        <v>1.75</v>
      </c>
      <c r="D27" s="17" t="s">
        <v>8</v>
      </c>
      <c r="E27" s="18" t="s">
        <v>99</v>
      </c>
      <c r="F27" s="18" t="s">
        <v>83</v>
      </c>
      <c r="H27" s="19"/>
      <c r="I27" s="19"/>
    </row>
    <row r="28" spans="1:9" x14ac:dyDescent="0.25">
      <c r="A28" s="14">
        <v>45071</v>
      </c>
      <c r="B28" s="15">
        <f t="shared" ref="B28" si="26">WEEKNUM(A28)</f>
        <v>21</v>
      </c>
      <c r="C28" s="16">
        <v>1</v>
      </c>
      <c r="D28" s="17" t="s">
        <v>8</v>
      </c>
      <c r="E28" s="18" t="s">
        <v>82</v>
      </c>
      <c r="F28" s="18"/>
      <c r="H28" s="19"/>
      <c r="I28" s="19"/>
    </row>
    <row r="29" spans="1:9" ht="30" x14ac:dyDescent="0.25">
      <c r="A29" s="14">
        <v>45071</v>
      </c>
      <c r="B29" s="15">
        <f t="shared" ref="B29" si="27">WEEKNUM(A29)</f>
        <v>21</v>
      </c>
      <c r="C29" s="16">
        <v>0.5</v>
      </c>
      <c r="D29" s="17" t="s">
        <v>8</v>
      </c>
      <c r="E29" s="18" t="s">
        <v>81</v>
      </c>
      <c r="F29" s="18" t="s">
        <v>100</v>
      </c>
      <c r="H29" s="19"/>
      <c r="I29" s="19"/>
    </row>
    <row r="30" spans="1:9" ht="30" x14ac:dyDescent="0.25">
      <c r="A30" s="14">
        <v>45069</v>
      </c>
      <c r="B30" s="15">
        <f t="shared" ref="B30" si="28">WEEKNUM(A30)</f>
        <v>21</v>
      </c>
      <c r="C30" s="16">
        <v>2.25</v>
      </c>
      <c r="D30" s="17" t="s">
        <v>8</v>
      </c>
      <c r="E30" s="18" t="s">
        <v>80</v>
      </c>
      <c r="F30" s="18" t="s">
        <v>101</v>
      </c>
      <c r="H30" s="19"/>
      <c r="I30" s="19"/>
    </row>
    <row r="31" spans="1:9" x14ac:dyDescent="0.25">
      <c r="A31" s="14">
        <v>45069</v>
      </c>
      <c r="B31" s="15">
        <f t="shared" ref="B31" si="29">WEEKNUM(A31)</f>
        <v>21</v>
      </c>
      <c r="C31" s="16">
        <v>0.75</v>
      </c>
      <c r="D31" s="17" t="s">
        <v>8</v>
      </c>
      <c r="E31" s="18" t="s">
        <v>79</v>
      </c>
      <c r="F31" s="18"/>
      <c r="H31" s="19"/>
      <c r="I31" s="19"/>
    </row>
    <row r="32" spans="1:9" ht="45" x14ac:dyDescent="0.25">
      <c r="A32" s="14">
        <v>45069</v>
      </c>
      <c r="B32" s="15">
        <f t="shared" ref="B32" si="30">WEEKNUM(A32)</f>
        <v>21</v>
      </c>
      <c r="C32" s="16">
        <v>1.5</v>
      </c>
      <c r="D32" s="17" t="s">
        <v>8</v>
      </c>
      <c r="E32" s="18" t="s">
        <v>78</v>
      </c>
      <c r="F32" s="18" t="s">
        <v>102</v>
      </c>
      <c r="H32" s="19"/>
      <c r="I32" s="19"/>
    </row>
    <row r="33" spans="1:9" x14ac:dyDescent="0.25">
      <c r="A33" s="14">
        <v>45069</v>
      </c>
      <c r="B33" s="15">
        <f t="shared" ref="B33" si="31">WEEKNUM(A33)</f>
        <v>21</v>
      </c>
      <c r="C33" s="16">
        <v>0.75</v>
      </c>
      <c r="D33" s="17" t="s">
        <v>8</v>
      </c>
      <c r="E33" s="18" t="s">
        <v>77</v>
      </c>
      <c r="F33" s="18"/>
      <c r="H33" s="19"/>
      <c r="I33" s="19"/>
    </row>
    <row r="34" spans="1:9" ht="30" x14ac:dyDescent="0.25">
      <c r="A34" s="14">
        <v>45068</v>
      </c>
      <c r="B34" s="15">
        <f t="shared" ref="B34" si="32">WEEKNUM(A34)</f>
        <v>21</v>
      </c>
      <c r="C34" s="16">
        <v>1</v>
      </c>
      <c r="D34" s="17" t="s">
        <v>6</v>
      </c>
      <c r="E34" s="18" t="s">
        <v>103</v>
      </c>
      <c r="F34" s="18" t="s">
        <v>76</v>
      </c>
      <c r="H34" s="19"/>
      <c r="I34" s="19"/>
    </row>
    <row r="35" spans="1:9" ht="30" x14ac:dyDescent="0.25">
      <c r="A35" s="14">
        <v>45068</v>
      </c>
      <c r="B35" s="15">
        <f t="shared" ref="B35" si="33">WEEKNUM(A35)</f>
        <v>21</v>
      </c>
      <c r="C35" s="16">
        <v>0.75</v>
      </c>
      <c r="D35" s="17" t="s">
        <v>6</v>
      </c>
      <c r="E35" s="18" t="s">
        <v>104</v>
      </c>
      <c r="F35" s="18"/>
      <c r="H35" s="19"/>
      <c r="I35" s="19"/>
    </row>
    <row r="36" spans="1:9" ht="45" x14ac:dyDescent="0.25">
      <c r="A36" s="14">
        <v>45068</v>
      </c>
      <c r="B36" s="15">
        <f t="shared" ref="B36" si="34">WEEKNUM(A36)</f>
        <v>21</v>
      </c>
      <c r="C36" s="16">
        <v>0.25</v>
      </c>
      <c r="D36" s="17" t="s">
        <v>6</v>
      </c>
      <c r="E36" s="18" t="s">
        <v>74</v>
      </c>
      <c r="F36" s="18" t="s">
        <v>105</v>
      </c>
      <c r="I36" s="5"/>
    </row>
    <row r="37" spans="1:9" ht="45" x14ac:dyDescent="0.25">
      <c r="A37" s="14">
        <v>45068</v>
      </c>
      <c r="B37" s="15">
        <f t="shared" ref="B37" si="35">WEEKNUM(A37)</f>
        <v>21</v>
      </c>
      <c r="C37" s="16">
        <v>1</v>
      </c>
      <c r="D37" s="17" t="s">
        <v>8</v>
      </c>
      <c r="E37" s="18" t="s">
        <v>75</v>
      </c>
      <c r="F37" s="18" t="s">
        <v>106</v>
      </c>
      <c r="I37" s="5"/>
    </row>
    <row r="38" spans="1:9" x14ac:dyDescent="0.25">
      <c r="A38" s="14">
        <v>45068</v>
      </c>
      <c r="B38" s="15">
        <f t="shared" ref="B38" si="36">WEEKNUM(A38)</f>
        <v>21</v>
      </c>
      <c r="C38" s="16">
        <v>1</v>
      </c>
      <c r="D38" s="17" t="s">
        <v>8</v>
      </c>
      <c r="E38" s="18" t="s">
        <v>74</v>
      </c>
      <c r="F38" s="18" t="s">
        <v>107</v>
      </c>
      <c r="I38" s="5"/>
    </row>
    <row r="39" spans="1:9" x14ac:dyDescent="0.25">
      <c r="A39" s="14">
        <v>45062</v>
      </c>
      <c r="B39" s="15">
        <f t="shared" ref="B39" si="37">WEEKNUM(A39)</f>
        <v>20</v>
      </c>
      <c r="C39" s="16">
        <v>1.25</v>
      </c>
      <c r="D39" s="17" t="s">
        <v>8</v>
      </c>
      <c r="E39" s="18" t="s">
        <v>74</v>
      </c>
      <c r="F39" s="18"/>
      <c r="I39" s="5"/>
    </row>
    <row r="40" spans="1:9" x14ac:dyDescent="0.25">
      <c r="A40" s="14">
        <v>45062</v>
      </c>
      <c r="B40" s="15">
        <f t="shared" ref="B40" si="38">WEEKNUM(A40)</f>
        <v>20</v>
      </c>
      <c r="C40" s="16">
        <v>0.5</v>
      </c>
      <c r="D40" s="17" t="s">
        <v>6</v>
      </c>
      <c r="E40" s="18" t="s">
        <v>41</v>
      </c>
      <c r="F40" s="18"/>
      <c r="I40" s="5"/>
    </row>
    <row r="41" spans="1:9" x14ac:dyDescent="0.25">
      <c r="A41" s="14">
        <v>45062</v>
      </c>
      <c r="B41" s="15">
        <f t="shared" ref="B41" si="39">WEEKNUM(A41)</f>
        <v>20</v>
      </c>
      <c r="C41" s="16">
        <v>0.5</v>
      </c>
      <c r="D41" s="17" t="s">
        <v>8</v>
      </c>
      <c r="E41" s="18" t="s">
        <v>74</v>
      </c>
      <c r="F41" s="18"/>
      <c r="I41" s="5"/>
    </row>
    <row r="42" spans="1:9" ht="30" x14ac:dyDescent="0.25">
      <c r="A42" s="14">
        <v>45062</v>
      </c>
      <c r="B42" s="15">
        <f t="shared" ref="B42" si="40">WEEKNUM(A42)</f>
        <v>20</v>
      </c>
      <c r="C42" s="16">
        <v>1.25</v>
      </c>
      <c r="D42" s="17" t="s">
        <v>8</v>
      </c>
      <c r="E42" s="18" t="s">
        <v>73</v>
      </c>
      <c r="F42" s="18" t="s">
        <v>108</v>
      </c>
      <c r="H42" s="19"/>
      <c r="I42" s="5"/>
    </row>
    <row r="43" spans="1:9" x14ac:dyDescent="0.25">
      <c r="A43" s="14">
        <v>45062</v>
      </c>
      <c r="B43" s="15">
        <f t="shared" ref="B43" si="41">WEEKNUM(A43)</f>
        <v>20</v>
      </c>
      <c r="C43" s="16">
        <v>1</v>
      </c>
      <c r="D43" s="17" t="s">
        <v>8</v>
      </c>
      <c r="E43" s="18" t="s">
        <v>72</v>
      </c>
      <c r="F43" s="18"/>
      <c r="H43" s="19"/>
      <c r="I43" s="5"/>
    </row>
    <row r="44" spans="1:9" ht="60" x14ac:dyDescent="0.25">
      <c r="A44" s="14">
        <v>45062</v>
      </c>
      <c r="B44" s="15">
        <f t="shared" ref="B44" si="42">WEEKNUM(A44)</f>
        <v>20</v>
      </c>
      <c r="C44" s="16">
        <v>0.75</v>
      </c>
      <c r="D44" s="17" t="s">
        <v>9</v>
      </c>
      <c r="E44" s="18" t="s">
        <v>109</v>
      </c>
      <c r="F44" s="18" t="s">
        <v>110</v>
      </c>
      <c r="I44" s="5"/>
    </row>
    <row r="45" spans="1:9" ht="45" x14ac:dyDescent="0.25">
      <c r="A45" s="14">
        <v>45061</v>
      </c>
      <c r="B45" s="15">
        <f t="shared" ref="B45" si="43">WEEKNUM(A45)</f>
        <v>20</v>
      </c>
      <c r="C45" s="16">
        <v>2.25</v>
      </c>
      <c r="D45" s="17" t="s">
        <v>8</v>
      </c>
      <c r="E45" s="18" t="s">
        <v>70</v>
      </c>
      <c r="F45" s="18" t="s">
        <v>71</v>
      </c>
      <c r="H45" s="19"/>
      <c r="I45" s="5"/>
    </row>
    <row r="46" spans="1:9" ht="30" x14ac:dyDescent="0.25">
      <c r="A46" s="14">
        <v>45061</v>
      </c>
      <c r="B46" s="15">
        <f t="shared" ref="B46" si="44">WEEKNUM(A46)</f>
        <v>20</v>
      </c>
      <c r="C46" s="16">
        <v>1</v>
      </c>
      <c r="D46" s="17" t="s">
        <v>8</v>
      </c>
      <c r="E46" s="18" t="s">
        <v>111</v>
      </c>
      <c r="F46" s="18" t="s">
        <v>69</v>
      </c>
      <c r="H46" s="19"/>
      <c r="I46" s="5"/>
    </row>
    <row r="47" spans="1:9" x14ac:dyDescent="0.25">
      <c r="A47" s="14">
        <v>45061</v>
      </c>
      <c r="B47" s="15">
        <f t="shared" ref="B47" si="45">WEEKNUM(A47)</f>
        <v>20</v>
      </c>
      <c r="C47" s="16">
        <v>0.5</v>
      </c>
      <c r="D47" s="17" t="s">
        <v>8</v>
      </c>
      <c r="E47" s="18" t="s">
        <v>68</v>
      </c>
      <c r="F47" s="18"/>
      <c r="H47" s="19"/>
      <c r="I47" s="5"/>
    </row>
    <row r="48" spans="1:9" x14ac:dyDescent="0.25">
      <c r="A48" s="14">
        <v>45061</v>
      </c>
      <c r="B48" s="15">
        <f t="shared" ref="B48" si="46">WEEKNUM(A48)</f>
        <v>20</v>
      </c>
      <c r="C48" s="16">
        <v>0.5</v>
      </c>
      <c r="D48" s="17" t="s">
        <v>8</v>
      </c>
      <c r="E48" s="18" t="s">
        <v>68</v>
      </c>
      <c r="F48" s="18"/>
      <c r="H48" s="19"/>
      <c r="I48" s="5"/>
    </row>
    <row r="49" spans="1:9" x14ac:dyDescent="0.25">
      <c r="A49" s="14">
        <v>45061</v>
      </c>
      <c r="B49" s="15">
        <f t="shared" ref="B49" si="47">WEEKNUM(A49)</f>
        <v>20</v>
      </c>
      <c r="C49" s="16">
        <v>0.5</v>
      </c>
      <c r="D49" s="17" t="s">
        <v>9</v>
      </c>
      <c r="E49" s="18" t="s">
        <v>67</v>
      </c>
      <c r="F49" s="18" t="s">
        <v>112</v>
      </c>
      <c r="H49" s="19"/>
      <c r="I49" s="5"/>
    </row>
    <row r="50" spans="1:9" ht="30" x14ac:dyDescent="0.25">
      <c r="A50" s="14">
        <v>45061</v>
      </c>
      <c r="B50" s="15">
        <f t="shared" ref="B50" si="48">WEEKNUM(A50)</f>
        <v>20</v>
      </c>
      <c r="C50" s="16">
        <v>0.5</v>
      </c>
      <c r="D50" s="17" t="s">
        <v>6</v>
      </c>
      <c r="E50" s="18" t="s">
        <v>66</v>
      </c>
      <c r="F50" s="18" t="s">
        <v>113</v>
      </c>
      <c r="H50" s="19"/>
      <c r="I50" s="5"/>
    </row>
    <row r="51" spans="1:9" x14ac:dyDescent="0.25">
      <c r="A51" s="14">
        <v>45061</v>
      </c>
      <c r="B51" s="15">
        <f t="shared" ref="B51" si="49">WEEKNUM(A51)</f>
        <v>20</v>
      </c>
      <c r="C51" s="16">
        <v>0.5</v>
      </c>
      <c r="D51" s="17" t="s">
        <v>10</v>
      </c>
      <c r="E51" s="18" t="s">
        <v>114</v>
      </c>
      <c r="F51" s="18"/>
      <c r="H51" s="19"/>
      <c r="I51" s="5"/>
    </row>
    <row r="52" spans="1:9" x14ac:dyDescent="0.25">
      <c r="A52" s="14">
        <v>45061</v>
      </c>
      <c r="B52" s="15">
        <f t="shared" ref="B52" si="50">WEEKNUM(A52)</f>
        <v>20</v>
      </c>
      <c r="C52" s="16">
        <v>0.25</v>
      </c>
      <c r="D52" s="17" t="s">
        <v>6</v>
      </c>
      <c r="E52" s="18" t="s">
        <v>65</v>
      </c>
      <c r="F52" s="18"/>
      <c r="I52" s="5"/>
    </row>
    <row r="53" spans="1:9" ht="30" x14ac:dyDescent="0.25">
      <c r="A53" s="14">
        <v>45061</v>
      </c>
      <c r="B53" s="15">
        <f t="shared" ref="B53" si="51">WEEKNUM(A53)</f>
        <v>20</v>
      </c>
      <c r="C53" s="16">
        <v>1</v>
      </c>
      <c r="D53" s="17" t="s">
        <v>8</v>
      </c>
      <c r="E53" s="18" t="s">
        <v>64</v>
      </c>
      <c r="F53" s="18" t="s">
        <v>115</v>
      </c>
      <c r="H53" s="19"/>
      <c r="I53" s="5"/>
    </row>
    <row r="54" spans="1:9" ht="30" x14ac:dyDescent="0.25">
      <c r="A54" s="14">
        <v>45058</v>
      </c>
      <c r="B54" s="15">
        <f t="shared" ref="B54" si="52">WEEKNUM(A54)</f>
        <v>19</v>
      </c>
      <c r="C54" s="16">
        <v>3</v>
      </c>
      <c r="D54" s="17" t="s">
        <v>8</v>
      </c>
      <c r="E54" s="18" t="s">
        <v>62</v>
      </c>
      <c r="F54" s="18" t="s">
        <v>116</v>
      </c>
      <c r="H54" s="19"/>
      <c r="I54" s="5"/>
    </row>
    <row r="55" spans="1:9" ht="105" x14ac:dyDescent="0.25">
      <c r="A55" s="14">
        <v>45058</v>
      </c>
      <c r="B55" s="15">
        <f t="shared" ref="B55" si="53">WEEKNUM(A55)</f>
        <v>19</v>
      </c>
      <c r="C55" s="16">
        <v>2</v>
      </c>
      <c r="D55" s="17" t="s">
        <v>8</v>
      </c>
      <c r="E55" s="18" t="s">
        <v>61</v>
      </c>
      <c r="F55" s="18" t="s">
        <v>117</v>
      </c>
      <c r="H55" s="19"/>
      <c r="I55" s="5"/>
    </row>
    <row r="56" spans="1:9" ht="30" x14ac:dyDescent="0.25">
      <c r="A56" s="14">
        <v>45057</v>
      </c>
      <c r="B56" s="15">
        <f t="shared" ref="B56" si="54">WEEKNUM(A56)</f>
        <v>19</v>
      </c>
      <c r="C56" s="16">
        <v>1.75</v>
      </c>
      <c r="D56" s="17" t="s">
        <v>8</v>
      </c>
      <c r="E56" s="18" t="s">
        <v>61</v>
      </c>
      <c r="F56" s="18" t="s">
        <v>118</v>
      </c>
      <c r="H56" s="19"/>
      <c r="I56" s="5"/>
    </row>
    <row r="57" spans="1:9" ht="30" x14ac:dyDescent="0.25">
      <c r="A57" s="14">
        <v>45057</v>
      </c>
      <c r="B57" s="15">
        <f t="shared" ref="B57" si="55">WEEKNUM(A57)</f>
        <v>19</v>
      </c>
      <c r="C57" s="16">
        <v>0.75</v>
      </c>
      <c r="D57" s="17" t="s">
        <v>8</v>
      </c>
      <c r="E57" s="18" t="s">
        <v>60</v>
      </c>
      <c r="F57" s="18" t="s">
        <v>119</v>
      </c>
      <c r="H57" s="19"/>
      <c r="I57" s="5"/>
    </row>
    <row r="58" spans="1:9" ht="30" x14ac:dyDescent="0.25">
      <c r="A58" s="14">
        <v>45057</v>
      </c>
      <c r="B58" s="15">
        <f t="shared" ref="B58" si="56">WEEKNUM(A58)</f>
        <v>19</v>
      </c>
      <c r="C58" s="16">
        <v>1.25</v>
      </c>
      <c r="D58" s="17" t="s">
        <v>8</v>
      </c>
      <c r="E58" s="18" t="s">
        <v>59</v>
      </c>
      <c r="F58" s="18" t="s">
        <v>120</v>
      </c>
      <c r="H58" s="19"/>
      <c r="I58" s="5"/>
    </row>
    <row r="59" spans="1:9" ht="30" x14ac:dyDescent="0.25">
      <c r="A59" s="14">
        <v>45057</v>
      </c>
      <c r="B59" s="15">
        <f t="shared" ref="B59" si="57">WEEKNUM(A59)</f>
        <v>19</v>
      </c>
      <c r="C59" s="16">
        <v>1</v>
      </c>
      <c r="D59" s="17" t="s">
        <v>8</v>
      </c>
      <c r="E59" s="18" t="s">
        <v>58</v>
      </c>
      <c r="F59" s="18" t="s">
        <v>121</v>
      </c>
      <c r="H59" s="19"/>
      <c r="I59" s="5"/>
    </row>
    <row r="60" spans="1:9" ht="45" x14ac:dyDescent="0.25">
      <c r="A60" s="14">
        <v>45057</v>
      </c>
      <c r="B60" s="15">
        <f t="shared" ref="B60" si="58">WEEKNUM(A60)</f>
        <v>19</v>
      </c>
      <c r="C60" s="16">
        <v>0.5</v>
      </c>
      <c r="D60" s="17" t="s">
        <v>9</v>
      </c>
      <c r="E60" s="18" t="s">
        <v>122</v>
      </c>
      <c r="F60" s="18" t="s">
        <v>57</v>
      </c>
      <c r="H60" s="19"/>
      <c r="I60" s="5"/>
    </row>
    <row r="61" spans="1:9" x14ac:dyDescent="0.25">
      <c r="A61" s="14">
        <v>45055</v>
      </c>
      <c r="B61" s="15">
        <f t="shared" ref="B61" si="59">WEEKNUM(A61)</f>
        <v>19</v>
      </c>
      <c r="C61" s="16">
        <v>0.75</v>
      </c>
      <c r="D61" s="17" t="s">
        <v>8</v>
      </c>
      <c r="E61" s="18" t="s">
        <v>56</v>
      </c>
      <c r="F61" s="18" t="s">
        <v>123</v>
      </c>
      <c r="H61" s="19"/>
      <c r="I61" s="5"/>
    </row>
    <row r="62" spans="1:9" x14ac:dyDescent="0.25">
      <c r="A62" s="14">
        <v>45055</v>
      </c>
      <c r="B62" s="15">
        <f t="shared" ref="B62" si="60">WEEKNUM(A62)</f>
        <v>19</v>
      </c>
      <c r="C62" s="16">
        <v>0.5</v>
      </c>
      <c r="D62" s="17" t="s">
        <v>8</v>
      </c>
      <c r="E62" s="18" t="s">
        <v>55</v>
      </c>
      <c r="F62" s="18"/>
      <c r="H62" s="19"/>
      <c r="I62" s="5"/>
    </row>
    <row r="63" spans="1:9" x14ac:dyDescent="0.25">
      <c r="A63" s="14">
        <v>45055</v>
      </c>
      <c r="B63" s="15">
        <f t="shared" ref="B63" si="61">WEEKNUM(A63)</f>
        <v>19</v>
      </c>
      <c r="C63" s="16">
        <v>1</v>
      </c>
      <c r="D63" s="17" t="s">
        <v>8</v>
      </c>
      <c r="E63" s="18" t="s">
        <v>51</v>
      </c>
      <c r="F63" s="18"/>
      <c r="H63" s="19"/>
      <c r="I63" s="5"/>
    </row>
    <row r="64" spans="1:9" ht="30" x14ac:dyDescent="0.25">
      <c r="A64" s="14">
        <v>45055</v>
      </c>
      <c r="B64" s="15">
        <f t="shared" ref="B64" si="62">WEEKNUM(A64)</f>
        <v>19</v>
      </c>
      <c r="C64" s="16">
        <v>1.75</v>
      </c>
      <c r="D64" s="17" t="s">
        <v>8</v>
      </c>
      <c r="E64" s="18" t="s">
        <v>53</v>
      </c>
      <c r="F64" s="18" t="s">
        <v>54</v>
      </c>
      <c r="I64" s="5"/>
    </row>
    <row r="65" spans="1:9" x14ac:dyDescent="0.25">
      <c r="A65" s="14">
        <v>45055</v>
      </c>
      <c r="B65" s="15">
        <f t="shared" ref="B65" si="63">WEEKNUM(A65)</f>
        <v>19</v>
      </c>
      <c r="C65" s="16">
        <v>0.25</v>
      </c>
      <c r="D65" s="17" t="s">
        <v>8</v>
      </c>
      <c r="E65" s="18" t="s">
        <v>52</v>
      </c>
      <c r="F65" s="18"/>
      <c r="I65" s="5"/>
    </row>
    <row r="66" spans="1:9" ht="30" x14ac:dyDescent="0.25">
      <c r="A66" s="14">
        <v>45055</v>
      </c>
      <c r="B66" s="15">
        <f t="shared" ref="B66" si="64">WEEKNUM(A66)</f>
        <v>19</v>
      </c>
      <c r="C66" s="16">
        <v>0.25</v>
      </c>
      <c r="D66" s="17" t="s">
        <v>8</v>
      </c>
      <c r="E66" s="18" t="s">
        <v>50</v>
      </c>
      <c r="F66" s="18" t="s">
        <v>124</v>
      </c>
      <c r="I66" s="5"/>
    </row>
    <row r="67" spans="1:9" ht="30" x14ac:dyDescent="0.25">
      <c r="A67" s="14">
        <v>45055</v>
      </c>
      <c r="B67" s="15">
        <f t="shared" ref="B67" si="65">WEEKNUM(A67)</f>
        <v>19</v>
      </c>
      <c r="C67" s="16">
        <v>0.5</v>
      </c>
      <c r="D67" s="17" t="s">
        <v>8</v>
      </c>
      <c r="E67" s="18" t="s">
        <v>49</v>
      </c>
      <c r="F67" s="18" t="s">
        <v>48</v>
      </c>
      <c r="I67" s="5"/>
    </row>
    <row r="68" spans="1:9" x14ac:dyDescent="0.25">
      <c r="A68" s="14">
        <v>45055</v>
      </c>
      <c r="B68" s="15">
        <f t="shared" ref="B68" si="66">WEEKNUM(A68)</f>
        <v>19</v>
      </c>
      <c r="C68" s="16">
        <v>0.25</v>
      </c>
      <c r="D68" s="17" t="s">
        <v>8</v>
      </c>
      <c r="E68" s="18" t="s">
        <v>47</v>
      </c>
      <c r="F68" s="18"/>
      <c r="I68" s="5"/>
    </row>
    <row r="69" spans="1:9" x14ac:dyDescent="0.25">
      <c r="A69" s="14">
        <v>45054</v>
      </c>
      <c r="B69" s="15">
        <f t="shared" ref="B69" si="67">WEEKNUM(A69)</f>
        <v>19</v>
      </c>
      <c r="C69" s="16">
        <v>0.75</v>
      </c>
      <c r="D69" s="17" t="s">
        <v>6</v>
      </c>
      <c r="E69" s="18" t="s">
        <v>46</v>
      </c>
      <c r="F69" s="18"/>
      <c r="I69" s="5"/>
    </row>
    <row r="70" spans="1:9" ht="45" x14ac:dyDescent="0.25">
      <c r="A70" s="14">
        <v>45054</v>
      </c>
      <c r="B70" s="15">
        <f t="shared" ref="B70" si="68">WEEKNUM(A70)</f>
        <v>19</v>
      </c>
      <c r="C70" s="16">
        <v>1</v>
      </c>
      <c r="D70" s="17" t="s">
        <v>6</v>
      </c>
      <c r="E70" s="18" t="s">
        <v>45</v>
      </c>
      <c r="F70" s="18" t="s">
        <v>125</v>
      </c>
      <c r="I70" s="5"/>
    </row>
    <row r="71" spans="1:9" x14ac:dyDescent="0.25">
      <c r="A71" s="14">
        <v>45054</v>
      </c>
      <c r="B71" s="15">
        <f t="shared" ref="B71" si="69">WEEKNUM(A71)</f>
        <v>19</v>
      </c>
      <c r="C71" s="16">
        <v>1</v>
      </c>
      <c r="D71" s="17" t="s">
        <v>6</v>
      </c>
      <c r="E71" s="18" t="s">
        <v>43</v>
      </c>
      <c r="F71" s="18" t="s">
        <v>44</v>
      </c>
      <c r="I71" s="5"/>
    </row>
    <row r="72" spans="1:9" x14ac:dyDescent="0.25">
      <c r="A72" s="14">
        <v>45054</v>
      </c>
      <c r="B72" s="15">
        <f t="shared" ref="B72" si="70">WEEKNUM(A72)</f>
        <v>19</v>
      </c>
      <c r="C72" s="16">
        <v>1</v>
      </c>
      <c r="D72" s="17" t="s">
        <v>10</v>
      </c>
      <c r="E72" s="18" t="s">
        <v>42</v>
      </c>
      <c r="F72" s="18" t="s">
        <v>126</v>
      </c>
      <c r="I72" s="5"/>
    </row>
    <row r="73" spans="1:9" x14ac:dyDescent="0.25">
      <c r="A73" s="14">
        <v>45054</v>
      </c>
      <c r="B73" s="15">
        <f t="shared" ref="B73" si="71">WEEKNUM(A73)</f>
        <v>19</v>
      </c>
      <c r="C73" s="16">
        <v>0.5</v>
      </c>
      <c r="D73" s="17" t="s">
        <v>6</v>
      </c>
      <c r="E73" s="18" t="s">
        <v>41</v>
      </c>
      <c r="F73" s="18"/>
      <c r="I73" s="5"/>
    </row>
    <row r="74" spans="1:9" ht="30" x14ac:dyDescent="0.25">
      <c r="A74" s="14">
        <v>45054</v>
      </c>
      <c r="B74" s="15">
        <f t="shared" ref="B74" si="72">WEEKNUM(A74)</f>
        <v>19</v>
      </c>
      <c r="C74" s="16">
        <v>0.5</v>
      </c>
      <c r="D74" s="17" t="s">
        <v>6</v>
      </c>
      <c r="E74" s="18" t="s">
        <v>40</v>
      </c>
      <c r="F74" s="18"/>
      <c r="I74" s="5"/>
    </row>
    <row r="75" spans="1:9" ht="30" x14ac:dyDescent="0.25">
      <c r="A75" s="14">
        <v>45054</v>
      </c>
      <c r="B75" s="15">
        <f t="shared" ref="B75" si="73">WEEKNUM(A75)</f>
        <v>19</v>
      </c>
      <c r="C75" s="16">
        <v>0.25</v>
      </c>
      <c r="D75" s="17" t="s">
        <v>6</v>
      </c>
      <c r="E75" s="18" t="s">
        <v>39</v>
      </c>
      <c r="F75" s="18" t="s">
        <v>127</v>
      </c>
      <c r="I75" s="5"/>
    </row>
    <row r="76" spans="1:9" ht="30" x14ac:dyDescent="0.25">
      <c r="A76" s="14">
        <v>45054</v>
      </c>
      <c r="B76" s="15">
        <f t="shared" ref="B76" si="74">WEEKNUM(A76)</f>
        <v>19</v>
      </c>
      <c r="C76" s="16">
        <v>0.5</v>
      </c>
      <c r="D76" s="17" t="s">
        <v>10</v>
      </c>
      <c r="E76" s="18" t="s">
        <v>38</v>
      </c>
      <c r="F76" s="18" t="s">
        <v>128</v>
      </c>
      <c r="I76" s="5"/>
    </row>
    <row r="77" spans="1:9" x14ac:dyDescent="0.25">
      <c r="A77" s="14">
        <v>45054</v>
      </c>
      <c r="B77" s="15">
        <f t="shared" ref="B77" si="75">WEEKNUM(A77)</f>
        <v>19</v>
      </c>
      <c r="C77" s="16">
        <v>0.5</v>
      </c>
      <c r="D77" s="17" t="s">
        <v>6</v>
      </c>
      <c r="E77" s="18" t="s">
        <v>37</v>
      </c>
      <c r="F77" s="18"/>
      <c r="I77" s="5"/>
    </row>
    <row r="78" spans="1:9" ht="30" x14ac:dyDescent="0.25">
      <c r="A78" s="14">
        <v>45054</v>
      </c>
      <c r="B78" s="15">
        <f t="shared" ref="B78" si="76">WEEKNUM(A78)</f>
        <v>19</v>
      </c>
      <c r="C78" s="16">
        <v>0.75</v>
      </c>
      <c r="D78" s="17" t="s">
        <v>6</v>
      </c>
      <c r="E78" s="18" t="s">
        <v>35</v>
      </c>
      <c r="F78" s="18" t="s">
        <v>36</v>
      </c>
      <c r="I78" s="5"/>
    </row>
    <row r="79" spans="1:9" ht="30" x14ac:dyDescent="0.25">
      <c r="A79" s="14">
        <v>45054</v>
      </c>
      <c r="B79" s="15">
        <f t="shared" ref="B79" si="77">WEEKNUM(A79)</f>
        <v>19</v>
      </c>
      <c r="C79" s="16">
        <v>0.25</v>
      </c>
      <c r="D79" s="17" t="s">
        <v>10</v>
      </c>
      <c r="E79" s="18" t="s">
        <v>34</v>
      </c>
      <c r="F79" s="18" t="s">
        <v>129</v>
      </c>
      <c r="I79" s="5"/>
    </row>
    <row r="80" spans="1:9" x14ac:dyDescent="0.25">
      <c r="A80" s="14">
        <v>45051</v>
      </c>
      <c r="B80" s="15">
        <f t="shared" ref="B80" si="78">WEEKNUM(A80)</f>
        <v>18</v>
      </c>
      <c r="C80" s="16">
        <v>0.5</v>
      </c>
      <c r="D80" s="17" t="s">
        <v>8</v>
      </c>
      <c r="E80" s="18" t="s">
        <v>130</v>
      </c>
      <c r="F80" s="18" t="s">
        <v>33</v>
      </c>
      <c r="I80" s="5"/>
    </row>
    <row r="81" spans="1:9" x14ac:dyDescent="0.25">
      <c r="A81" s="14">
        <v>45051</v>
      </c>
      <c r="B81" s="15">
        <f t="shared" ref="B81" si="79">WEEKNUM(A81)</f>
        <v>18</v>
      </c>
      <c r="C81" s="16">
        <v>0.5</v>
      </c>
      <c r="D81" s="17" t="s">
        <v>8</v>
      </c>
      <c r="E81" s="18" t="s">
        <v>31</v>
      </c>
      <c r="F81" s="18" t="s">
        <v>32</v>
      </c>
      <c r="I81" s="5"/>
    </row>
    <row r="82" spans="1:9" ht="30" x14ac:dyDescent="0.25">
      <c r="A82" s="14">
        <v>45051</v>
      </c>
      <c r="B82" s="15">
        <f t="shared" ref="B82" si="80">WEEKNUM(A82)</f>
        <v>18</v>
      </c>
      <c r="C82" s="16">
        <v>0.5</v>
      </c>
      <c r="D82" s="17" t="s">
        <v>10</v>
      </c>
      <c r="E82" s="18" t="s">
        <v>29</v>
      </c>
      <c r="F82" s="18" t="s">
        <v>30</v>
      </c>
      <c r="I82" s="5"/>
    </row>
    <row r="83" spans="1:9" x14ac:dyDescent="0.25">
      <c r="A83" s="14">
        <v>45051</v>
      </c>
      <c r="B83" s="15">
        <f t="shared" ref="B83" si="81">WEEKNUM(A83)</f>
        <v>18</v>
      </c>
      <c r="C83" s="16">
        <v>0.25</v>
      </c>
      <c r="D83" s="17" t="s">
        <v>8</v>
      </c>
      <c r="E83" s="18" t="s">
        <v>28</v>
      </c>
      <c r="F83" s="18" t="s">
        <v>131</v>
      </c>
      <c r="I83" s="5"/>
    </row>
    <row r="84" spans="1:9" x14ac:dyDescent="0.25">
      <c r="A84" s="14">
        <v>45051</v>
      </c>
      <c r="B84" s="15">
        <f t="shared" ref="B84" si="82">WEEKNUM(A84)</f>
        <v>18</v>
      </c>
      <c r="C84" s="16">
        <v>0.5</v>
      </c>
      <c r="D84" s="17" t="s">
        <v>8</v>
      </c>
      <c r="E84" s="18" t="s">
        <v>27</v>
      </c>
      <c r="F84" s="18"/>
      <c r="I84" s="5"/>
    </row>
    <row r="85" spans="1:9" x14ac:dyDescent="0.25">
      <c r="A85" s="14">
        <v>45051</v>
      </c>
      <c r="B85" s="15">
        <f t="shared" ref="B85" si="83">WEEKNUM(A85)</f>
        <v>18</v>
      </c>
      <c r="C85" s="16">
        <v>0.25</v>
      </c>
      <c r="D85" s="17" t="s">
        <v>8</v>
      </c>
      <c r="E85" s="18" t="s">
        <v>26</v>
      </c>
      <c r="F85" s="18"/>
      <c r="I85" s="5"/>
    </row>
    <row r="86" spans="1:9" ht="45" x14ac:dyDescent="0.25">
      <c r="A86" s="14">
        <v>45051</v>
      </c>
      <c r="B86" s="15">
        <f t="shared" ref="B86" si="84">WEEKNUM(A86)</f>
        <v>18</v>
      </c>
      <c r="C86" s="16">
        <v>1.25</v>
      </c>
      <c r="D86" s="17" t="s">
        <v>6</v>
      </c>
      <c r="E86" s="18" t="s">
        <v>24</v>
      </c>
      <c r="F86" s="18" t="s">
        <v>25</v>
      </c>
      <c r="I86" s="5"/>
    </row>
    <row r="87" spans="1:9" x14ac:dyDescent="0.25">
      <c r="A87" s="14">
        <v>45051</v>
      </c>
      <c r="B87" s="15">
        <f t="shared" ref="B87" si="85">WEEKNUM(A87)</f>
        <v>18</v>
      </c>
      <c r="C87" s="16">
        <v>1.25</v>
      </c>
      <c r="D87" s="17" t="s">
        <v>6</v>
      </c>
      <c r="E87" s="18" t="s">
        <v>23</v>
      </c>
      <c r="F87" s="18"/>
      <c r="I87" s="5"/>
    </row>
    <row r="88" spans="1:9" x14ac:dyDescent="0.25">
      <c r="A88" s="14">
        <v>45051</v>
      </c>
      <c r="B88" s="15">
        <f t="shared" ref="B88" si="86">WEEKNUM(A88)</f>
        <v>18</v>
      </c>
      <c r="C88" s="16">
        <v>0.25</v>
      </c>
      <c r="D88" s="17" t="s">
        <v>6</v>
      </c>
      <c r="E88" s="18" t="s">
        <v>21</v>
      </c>
      <c r="F88" s="18" t="s">
        <v>22</v>
      </c>
      <c r="I88" s="5"/>
    </row>
    <row r="89" spans="1:9" x14ac:dyDescent="0.25">
      <c r="A89" s="14">
        <v>45050</v>
      </c>
      <c r="B89" s="15">
        <f t="shared" ref="B89" si="87">WEEKNUM(A89)</f>
        <v>18</v>
      </c>
      <c r="C89" s="16">
        <v>1.5</v>
      </c>
      <c r="D89" s="17" t="s">
        <v>6</v>
      </c>
      <c r="E89" s="18" t="s">
        <v>21</v>
      </c>
      <c r="F89" s="18" t="s">
        <v>22</v>
      </c>
      <c r="I89" s="5"/>
    </row>
    <row r="90" spans="1:9" x14ac:dyDescent="0.25">
      <c r="A90" s="14">
        <v>45050</v>
      </c>
      <c r="B90" s="15">
        <f t="shared" ref="B90" si="88">WEEKNUM(A90)</f>
        <v>18</v>
      </c>
      <c r="C90" s="16">
        <v>1.25</v>
      </c>
      <c r="D90" s="17" t="s">
        <v>6</v>
      </c>
      <c r="E90" s="18" t="s">
        <v>20</v>
      </c>
      <c r="F90" s="18"/>
      <c r="I90" s="5"/>
    </row>
    <row r="91" spans="1:9" x14ac:dyDescent="0.25">
      <c r="A91" s="14">
        <v>45050</v>
      </c>
      <c r="B91" s="15">
        <f t="shared" ref="B91" si="89">WEEKNUM(A91)</f>
        <v>18</v>
      </c>
      <c r="C91" s="16">
        <v>0.5</v>
      </c>
      <c r="D91" s="17" t="s">
        <v>6</v>
      </c>
      <c r="E91" s="18" t="s">
        <v>19</v>
      </c>
      <c r="F91" s="18"/>
      <c r="I91" s="5"/>
    </row>
    <row r="92" spans="1:9" x14ac:dyDescent="0.25">
      <c r="A92" s="14">
        <v>45050</v>
      </c>
      <c r="B92" s="15">
        <f t="shared" ref="B92" si="90">WEEKNUM(A92)</f>
        <v>18</v>
      </c>
      <c r="C92" s="16">
        <v>0.5</v>
      </c>
      <c r="D92" s="17" t="s">
        <v>10</v>
      </c>
      <c r="E92" s="18" t="s">
        <v>18</v>
      </c>
      <c r="F92" s="18"/>
      <c r="I92" s="5"/>
    </row>
    <row r="93" spans="1:9" x14ac:dyDescent="0.25">
      <c r="A93" s="14">
        <v>45050</v>
      </c>
      <c r="B93" s="15">
        <f t="shared" ref="B93" si="91">WEEKNUM(A93)</f>
        <v>18</v>
      </c>
      <c r="C93" s="16">
        <v>0.25</v>
      </c>
      <c r="D93" s="17" t="s">
        <v>8</v>
      </c>
      <c r="E93" s="18" t="s">
        <v>132</v>
      </c>
      <c r="F93" s="18"/>
      <c r="I93" s="5"/>
    </row>
    <row r="94" spans="1:9" x14ac:dyDescent="0.25">
      <c r="A94" s="14">
        <v>45050</v>
      </c>
      <c r="B94" s="15">
        <f t="shared" ref="B94" si="92">WEEKNUM(A94)</f>
        <v>18</v>
      </c>
      <c r="C94" s="16">
        <v>0.25</v>
      </c>
      <c r="D94" s="17" t="s">
        <v>8</v>
      </c>
      <c r="E94" s="18" t="s">
        <v>17</v>
      </c>
      <c r="F94" s="18" t="s">
        <v>133</v>
      </c>
      <c r="I94" s="5"/>
    </row>
    <row r="95" spans="1:9" ht="30" x14ac:dyDescent="0.25">
      <c r="A95" s="14">
        <v>45050</v>
      </c>
      <c r="B95" s="15">
        <f t="shared" ref="B95" si="93">WEEKNUM(A95)</f>
        <v>18</v>
      </c>
      <c r="C95" s="16">
        <v>1</v>
      </c>
      <c r="D95" s="17" t="s">
        <v>6</v>
      </c>
      <c r="E95" s="18" t="s">
        <v>14</v>
      </c>
      <c r="F95" s="18" t="s">
        <v>134</v>
      </c>
      <c r="I95" s="5"/>
    </row>
    <row r="96" spans="1:9" ht="30" x14ac:dyDescent="0.25">
      <c r="A96" s="14">
        <v>45048</v>
      </c>
      <c r="B96" s="15">
        <f t="shared" ref="B96" si="94">WEEKNUM(A96)</f>
        <v>18</v>
      </c>
      <c r="C96" s="16">
        <v>6</v>
      </c>
      <c r="D96" s="17" t="s">
        <v>6</v>
      </c>
      <c r="E96" s="18" t="s">
        <v>14</v>
      </c>
      <c r="F96" s="18" t="s">
        <v>16</v>
      </c>
      <c r="I96" s="5"/>
    </row>
    <row r="97" spans="1:9" x14ac:dyDescent="0.25">
      <c r="A97" s="14">
        <v>45048</v>
      </c>
      <c r="B97" s="15">
        <f t="shared" ref="B97" si="95">WEEKNUM(A97)</f>
        <v>18</v>
      </c>
      <c r="C97" s="16">
        <v>0.25</v>
      </c>
      <c r="D97" s="17" t="s">
        <v>6</v>
      </c>
      <c r="E97" s="18" t="s">
        <v>13</v>
      </c>
      <c r="F97" s="18"/>
      <c r="I97" s="5"/>
    </row>
    <row r="98" spans="1:9" x14ac:dyDescent="0.25">
      <c r="A98" s="14">
        <v>45048</v>
      </c>
      <c r="B98" s="15">
        <f t="shared" ref="B98" si="96">WEEKNUM(A98)</f>
        <v>18</v>
      </c>
      <c r="C98" s="16">
        <v>0.75</v>
      </c>
      <c r="D98" s="17" t="s">
        <v>6</v>
      </c>
      <c r="E98" s="18" t="s">
        <v>15</v>
      </c>
      <c r="F98" s="18"/>
      <c r="I98" s="5"/>
    </row>
    <row r="99" spans="1:9" x14ac:dyDescent="0.25">
      <c r="A99" s="9"/>
    </row>
  </sheetData>
  <sheetProtection selectLockedCells="1"/>
  <pageMargins left="0.7" right="0.7" top="0.75" bottom="0.75" header="0.3" footer="0.3"/>
  <pageSetup paperSize="34" scale="4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B2:F3"/>
  <sheetViews>
    <sheetView showGridLines="0" workbookViewId="0">
      <selection activeCell="J4" sqref="J4"/>
    </sheetView>
  </sheetViews>
  <sheetFormatPr baseColWidth="10" defaultColWidth="11.42578125" defaultRowHeight="21.95" customHeight="1" x14ac:dyDescent="0.25"/>
  <cols>
    <col min="1" max="1" width="4.5703125" customWidth="1"/>
    <col min="2" max="2" width="12.5703125" bestFit="1" customWidth="1"/>
    <col min="3" max="3" width="20" bestFit="1" customWidth="1"/>
    <col min="4" max="4" width="10.140625" bestFit="1" customWidth="1"/>
    <col min="5" max="5" width="19.28515625" bestFit="1" customWidth="1"/>
    <col min="6" max="6" width="10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2" spans="2:6" ht="21.95" customHeight="1" thickBot="1" x14ac:dyDescent="0.3">
      <c r="B2" s="22" t="s">
        <v>6</v>
      </c>
      <c r="C2" s="20" t="s">
        <v>8</v>
      </c>
      <c r="D2" s="20" t="s">
        <v>9</v>
      </c>
      <c r="E2" s="21" t="s">
        <v>10</v>
      </c>
      <c r="F2" s="26" t="s">
        <v>63</v>
      </c>
    </row>
    <row r="3" spans="2:6" ht="21.95" customHeight="1" x14ac:dyDescent="0.25">
      <c r="B3" s="23">
        <f>SUMIF(Journal!D:D, "Analyse", Journal!C:C)</f>
        <v>22.5</v>
      </c>
      <c r="C3" s="24">
        <f>SUMIF(Journal!D:D, "Implémentation", Journal!C:C)</f>
        <v>44.25</v>
      </c>
      <c r="D3" s="24">
        <f>SUMIF(Journal!D:D, "Tests", Journal!C:C)</f>
        <v>4</v>
      </c>
      <c r="E3" s="25">
        <f>SUMIF(Journal!D:D, "Documentation", Journal!C:C)</f>
        <v>16.5</v>
      </c>
      <c r="F3" s="27">
        <f>SUM(B3:E3)</f>
        <v>87.25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6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12</v>
      </c>
    </row>
    <row r="7" spans="1:1" x14ac:dyDescent="0.25">
      <c r="A7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www.w3.org/XML/1998/namespace"/>
    <ds:schemaRef ds:uri="http://purl.org/dc/elements/1.1/"/>
    <ds:schemaRef ds:uri="c00db93e-a012-41a1-8dae-1f2fb8b40d56"/>
    <ds:schemaRef ds:uri="http://purl.org/dc/terms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0119da2b-60ce-4773-88fa-ebab2cde1f5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2023-06-02T14:10:38Z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